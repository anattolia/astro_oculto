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<sst xmlns="http://schemas.openxmlformats.org/spreadsheetml/2006/main" count="563" uniqueCount="409">
  <si>
    <t xml:space="preserve">id</t>
  </si>
  <si>
    <t xml:space="preserve">nombre</t>
  </si>
  <si>
    <t xml:space="preserve">elegido</t>
  </si>
  <si>
    <t xml:space="preserve">direccion</t>
  </si>
  <si>
    <t xml:space="preserve">barrio</t>
  </si>
  <si>
    <t xml:space="preserve">localidad</t>
  </si>
  <si>
    <t xml:space="preserve">genero</t>
  </si>
  <si>
    <t xml:space="preserve">icono</t>
  </si>
  <si>
    <t xml:space="preserve">añoInicio</t>
  </si>
  <si>
    <t xml:space="preserve">añoFin</t>
  </si>
  <si>
    <t xml:space="preserve">descripcion</t>
  </si>
  <si>
    <t xml:space="preserve">causaCierre</t>
  </si>
  <si>
    <t xml:space="preserve">Links de consulta</t>
  </si>
  <si>
    <t xml:space="preserve">longitud</t>
  </si>
  <si>
    <t xml:space="preserve">latitud</t>
  </si>
  <si>
    <t xml:space="preserve">Abbott &amp; Costello</t>
  </si>
  <si>
    <t xml:space="preserve">cll 65 # 13-42</t>
  </si>
  <si>
    <t xml:space="preserve">Chapinero norte</t>
  </si>
  <si>
    <t xml:space="preserve">Chapinero</t>
  </si>
  <si>
    <t xml:space="preserve">Rock, punk</t>
  </si>
  <si>
    <t xml:space="preserve">Amenaza de cierre en 2023. Continúa abierto </t>
  </si>
  <si>
    <t xml:space="preserve">Bastión del rock en Chapinero, combinaba lo mejor del rock de los 90 con una atmósfera acogedora. Este bar, con su decoración ecléctica y su barra siempre animada, fue un punto de encuentro para generaciones de rockeros. Abbot y Costello era conocido por sus sesiones acústicas y sus noches de karaoke rockero, que ofrecían a los aficionados la oportunidad de ser las estrellas del escenario. La noticia de su cierre fue un golpe duro para la comunidad, que perdió un espacio donde la música y la amistad se entrelazaban. Al parecer estuvo cerrado unos años y luego volvió a abrir.</t>
  </si>
  <si>
    <t xml:space="preserve">Anunció el cierre de su sede tradicional en 2023 por demolición del predio, pero pronto logró solucionar la situación y continúa hasta hoy.</t>
  </si>
  <si>
    <t xml:space="preserve">Chapinero musical, Abbot y Costelo: la triste historia detrás de cierre de legendario bar de rock bogotano
http://radioacktiva.com/2024/estos-son-los-bares-de-rock-que-desaparecieron-en-bogota-recuerda-alguno-349211.html                                                                                                                 https://www.eltiempo.com/cultura/gente/abbott-y-costello-armano-records-y-otros-iconicos-bares-que-cerraron-en-bogota-817180  https://www.pulzo.com/economia/abbott-costello-bar-rock-bogota-con-casi-40-anos-confirmo-que-cierra-PP3142137</t>
  </si>
  <si>
    <t xml:space="preserve">Amnesia</t>
  </si>
  <si>
    <t xml:space="preserve">Cra 15 #95</t>
  </si>
  <si>
    <t xml:space="preserve">Chicó norte</t>
  </si>
  <si>
    <t xml:space="preserve">Electrónica</t>
  </si>
  <si>
    <t xml:space="preserve">¿Década de 1980?</t>
  </si>
  <si>
    <t xml:space="preserve">¿?</t>
  </si>
  <si>
    <t xml:space="preserve">Uno de los primeros lugares de electrónica de Bogotá. En un artículo de la revista Vice cuentan: "La música que sonaba en ese lugar era la misma que se estaba escuchando en los clubes de Nueva York: sonaba disco, electrofunk, Gino Soccio, los Bee Gees, White Horse, breakdance, electric boogie… Amnesia aportó mucho por la música que sonaba, el baile de aquel entonces y los géneros que estaba empezando a mover".</t>
  </si>
  <si>
    <t xml:space="preserve">https://www.vice.com/es/article/cul-fue-el-primer-club-de-colombia/</t>
  </si>
  <si>
    <t xml:space="preserve">Antifaz</t>
  </si>
  <si>
    <t xml:space="preserve">av. Jiménez # 4
(Luego tuvo dos sedes más en la cll 59 con 7 y en la cll 60 con 9)</t>
  </si>
  <si>
    <t xml:space="preserve">Las Aguas</t>
  </si>
  <si>
    <t xml:space="preserve">La Candelaria</t>
  </si>
  <si>
    <t xml:space="preserve">Rock, funk, new wave, salsa</t>
  </si>
  <si>
    <t xml:space="preserve">Uno de los infaltables de la rumba, la cultura y la bohemia de la Bogotá de los años 80 y 90. Estaba ubicado originalmente en un sótano sobre la avenida Jiménez con carera. 4. La cerveza era barata, no había mesas, ni quien se sentara: se bailaba rock y salsa hasta que sudaban las paredes y el techo. También se usó para ensayar obras de teatro cuando no estaba abierto como bar y se volvió un ícono para la comunidad artística bogotana del momento.
</t>
  </si>
  <si>
    <t xml:space="preserve">Compra del predio (¿especulación inmobiliaria?)</t>
  </si>
  <si>
    <t xml:space="preserve">playlist del lugar: https://www.youtube.com/playlist?list=PLhakzgpKngU2cHC4wy_CXxcXNUprs4ZZO 
grupo nostalgia por antifaz: https://www.facebook.com/groups/9918581110/?locale=es_LA 
https://www.eltiempo.com/archivo/documento/cms-3459851 </t>
  </si>
  <si>
    <t xml:space="preserve">cll 59 # 7 (Tuvo dos sedes más en la av. Jiménez con 4 y en la cll 60 con 9)</t>
  </si>
  <si>
    <t xml:space="preserve">cll 60 # 9  (Tuvo dos sedes más en la av. Jiménez con 4 y en la cll 59 con 7)</t>
  </si>
  <si>
    <t xml:space="preserve">Uno de los infaltables de la rumba, la cultura y la bohemia de la Bogotá de los años 80 y 90. Estaba ubicado originalmente en un sótano sobre la avenida Jiménez con carera. 4. La cerveza era barata, no había mesas, ni quien se sentara: se bailaba rock y salsa hasta que sudaban las paredes y el techo. También se usó para ensayar obras de teatro cuando no estaba abierto como bar y se volvió un ícono para la comunidad artística bogotana del momento.
</t>
  </si>
  <si>
    <t xml:space="preserve">Arlequín</t>
  </si>
  <si>
    <t xml:space="preserve">cll 23 # 5</t>
  </si>
  <si>
    <t xml:space="preserve">Las Nieves</t>
  </si>
  <si>
    <t xml:space="preserve">Santa Fé</t>
  </si>
  <si>
    <t xml:space="preserve">Gay</t>
  </si>
  <si>
    <t xml:space="preserve">Mediados de la década de 1960</t>
  </si>
  <si>
    <t xml:space="preserve">Principios de la década de 1980</t>
  </si>
  <si>
    <t xml:space="preserve">Fue un bar forzosamente clandestino debido a la violencia, la prohibición y la persecución a las disidencias sexuales. Según la tesis de Juan Leonardo Bello Rodríguez, 'Tras las Huellas del Arcoíris', Arlequín fue el primer bar gay de Bogotá. Quedaba en la calle 23 entre carreras 5 y 6, según cuentan, estaba decorado con cortinas de terciopelo rojo, un enorme florero de gladiolos y un piano rojo.
Resistió algo más de una década y tuvo un rol importantísimo en la defensa y el reconocimiento de derechos de la comunidad LGBTIQ+.
</t>
  </si>
  <si>
    <t xml:space="preserve">Hostigamiento y violencia. En 1983 su propietario fue asesinado</t>
  </si>
  <si>
    <t xml:space="preserve">https://www.semana.com/contenidos-editoriales/especial-lgbti-2017/articulo/espacios-lgbti-en-bogota/65096/ 
https://repository.javeriana.edu.co/items/128e2673-6311-49d7-bffa-e9a2eb321ba9 
Celiis Albán, F. (2009) Hombre con hombre, mujer con mujer y viceversa. Colombia Gay. Bogotá,
Intermedio editores. P.p.66-67. 
Cuadro precioso: https://www.instagram.com/p/DBPrVGcthV_/ </t>
  </si>
  <si>
    <t xml:space="preserve">⁠Astrolabio</t>
  </si>
  <si>
    <t xml:space="preserve">cll 86 # 13a-30</t>
  </si>
  <si>
    <t xml:space="preserve">La Cabrera</t>
  </si>
  <si>
    <t xml:space="preserve">Rock alternativo, rock en español, ska</t>
  </si>
  <si>
    <t xml:space="preserve">Quedaba en la calle 86 con carrera 13 A. Era un sitio relajado que abría de domingo a domingo. A partir de las 2 pm. funcionaba como café en una casa con patio y lavadero, tienda de discos en el segundo piso y una tienda de moda llamada Lokomodo, que ofrecía tanto ropa de segunda, como diseños propios raros y alternos. </t>
  </si>
  <si>
    <t xml:space="preserve">Problemas de permisos con la policía</t>
  </si>
  <si>
    <t xml:space="preserve">Barbie y Barbarie: el aporte de Aterciopelados a la vida nocturna capitalina en los 90  https://cartelurbano.com/musica/hector-buitrago-escudero-andrea-echeverri</t>
  </si>
  <si>
    <t xml:space="preserve">Barbarie</t>
  </si>
  <si>
    <t xml:space="preserve">cll 10 # 3-87</t>
  </si>
  <si>
    <t xml:space="preserve">Candelaria</t>
  </si>
  <si>
    <t xml:space="preserve">Rock</t>
  </si>
  <si>
    <t xml:space="preserve">Ubicado en una casona en la Candelaria, que también era vivienda y ensayadero, fue el epicentro del rock under. Creado por Héctor Buitrago y Andrea Echeverri antes de formar Aterciopelados, funcionó hasta 1990 y fue el semillero de la movida alternativa de Bogotá.
En apenas un año de funcionamiento Barbarie se convirtió en un lugar emblemático y nodal para aquellos que compartían inquietudes y curiosidades estéticas, artísticas, cinéfilas y musicales similares. Fue un lugar de experimentación, afectos, amores y uniones creativas. Al menos una vez al mes, tocaba Delia y Los Aminoácidos, y pasaron por allí, en sus inicios, bandas como Estados Alterados, KGB, El Grupo 9, SB2 y Le’Kaffage entre otros. Finalmente, en octubre de 1990, debido a las quejas de los vecinos, la policía hizo el cierre definitivo del lugar.</t>
  </si>
  <si>
    <t xml:space="preserve">Fue sellado por la policía debido a quejas de los vecinos</t>
  </si>
  <si>
    <t xml:space="preserve">https://www.vice.com/es/article/barbie-y-barbarie-el-aporte-de-aterciopelados-a-la-vida-nocturna-capitalina-en-los-90/
https://razonpublica.com/erase-una-vez-los-noventa-la-movida-rockera-alternativa-bogota/ 
https://www.instagram.com/reels/DKF5najyXyb/ 
https://www.instagram.com/reel/DPgyeaGEuCW/ 
FOTO ARCHIVO PERSONAL: https://www.facebook.com/groups/19814545280/permalink/10164463078460281/?rdid=3VRWnBaBATmKtqIG# </t>
  </si>
  <si>
    <t xml:space="preserve">Barbie</t>
  </si>
  <si>
    <t xml:space="preserve">cra 7 # 145-57</t>
  </si>
  <si>
    <t xml:space="preserve">Cedritos</t>
  </si>
  <si>
    <t xml:space="preserve">Usaquén</t>
  </si>
  <si>
    <t xml:space="preserve">Después del cierre de Barbarie, Andrea y Héctor abrieron Barbie en Cedritos, que sería el segundo de la serie de bares alternativos que seguirían abriendo y cerrando en el circuito independiente de la ciudad. En esa época terminó Delia y los Aminoácidos y nació Aterciopelados. Los gestores, eran los mismos decoradores, músicos y productores. Era un bar con concepto que ensamblaba objetos, sabores, sonidos y colores con el escenario abierto a la experimentación y las fiestas temáticas.</t>
  </si>
  <si>
    <t xml:space="preserve">Ruptura sentimental entre Héctor y Andrea</t>
  </si>
  <si>
    <t xml:space="preserve">https://www.vice.com/es/article/barbie-y-barbarie-el-aporte-de-aterciopelados-a-la-vida-nocturna-capitalina-en-los-90/
https://razonpublica.com/erase-una-vez-los-noventa-la-movida-rockera-alternativa-bogota/  https://cartelurbano.com/musica/hector-buitrago-escudero-andrea-echeverri# https://www.tiktok.com/@leyendasdecalle0/video/7508505343178050822</t>
  </si>
  <si>
    <t xml:space="preserve">Barroco</t>
  </si>
  <si>
    <t xml:space="preserve">Salsa romántica, merengue, pop</t>
  </si>
  <si>
    <t xml:space="preserve">Bol&amp;Bar</t>
  </si>
  <si>
    <t xml:space="preserve">cll 63 # 9-59</t>
  </si>
  <si>
    <t xml:space="preserve">Chapinero central</t>
  </si>
  <si>
    <t xml:space="preserve">Funk, rock electrónico, ska</t>
  </si>
  <si>
    <t xml:space="preserve">¿1994?</t>
  </si>
  <si>
    <t xml:space="preserve">Era un local muy pequeño donde la barra funcionaba como escenario. En los conciertos montaban andamios para los músicos y el público se ubicaba justo debajo. Como muchos de los bares del momento tuvo un carácter efímero, pero que sirvió como escenario a las bandas locales emergentes para consolidarse. </t>
  </si>
  <si>
    <t xml:space="preserve">desconocido</t>
  </si>
  <si>
    <t xml:space="preserve">https://youtu.be/k3VKvEAk1RM?si=sw218cgE26C5RsGk</t>
  </si>
  <si>
    <t xml:space="preserve">Casa Volketa</t>
  </si>
  <si>
    <t xml:space="preserve">cra 9 # 48-09</t>
  </si>
  <si>
    <t xml:space="preserve">Marly</t>
  </si>
  <si>
    <t xml:space="preserve"> Hip hop</t>
  </si>
  <si>
    <t xml:space="preserve">Casa Volketa fue un proyecto autogestionado en Chapinero que reunió una cultura alrededor de prácticas y expresiones como el grafiti, el hip hop, la ropa y la subcultura urbana. Volketa fue una micelánea de cosas, un pilar para el arte anónimo e independiente que congregó artistas gráficos y músicos, difuminando límites y limitaciones sociales para compartir entre diferentes.</t>
  </si>
  <si>
    <t xml:space="preserve">Su fundador decidió cerrar para priorizar otros proyectos y radicarse en Medellín</t>
  </si>
  <si>
    <t xml:space="preserve">https://cartelurbano.com/noticias/un-espacio-vital-para-el-arte-urbano-local-se-despide-casa-volketa-cierra-sus-puertas, https://medium.com/overcast/casa-volketa-bogot%C3%A1-y-contracultura-90d9d1824bf9</t>
  </si>
  <si>
    <t xml:space="preserve">Cha Cha</t>
  </si>
  <si>
    <t xml:space="preserve">cra 7 # 32-26</t>
  </si>
  <si>
    <t xml:space="preserve">San Martín</t>
  </si>
  <si>
    <t xml:space="preserve">Santa Fe</t>
  </si>
  <si>
    <t xml:space="preserve">House, techno, electro </t>
  </si>
  <si>
    <t xml:space="preserve">Su nombre quedó tras una fiesta en Cartagena que también se llamó Cha Cha y, según sus organizadores, resultó un fracaso pero los impulsó a abrir el bar que se ubicaba en el piso 41 del antiguo hotel Hilton y tenía una impresionante vista sobre Bogotá. Su decoración era extravagante y rococó. Con capacidad para 900 personas ofrecía una rumba electrónica a veces alternada con el indie y el funk. Tenía ambientes diversos, posibilitados por dos salones y dos terrazas. </t>
  </si>
  <si>
    <t xml:space="preserve">sus creadores cambiaron el carácter del lugar, pasando de ser el Cha cha bar a un restaurante bar llamado Céntrico</t>
  </si>
  <si>
    <t xml:space="preserve">Ecos de la noche: lugares que han forjado la cultura bogotana https://www.eltiempo.com/archivo/documento/cms-3827153 https://www.eltiempo.com/archivo/documento/mam-1678002 https://revistadiners.com.co/estilo-de-vida/en-centrico-la-rumba-es-en-las-alturas/</t>
  </si>
  <si>
    <t xml:space="preserve">Chapinero Mutante</t>
  </si>
  <si>
    <t xml:space="preserve">cra 7 # 57-51</t>
  </si>
  <si>
    <t xml:space="preserve">Chapinero Central</t>
  </si>
  <si>
    <t xml:space="preserve">Ska, rock</t>
  </si>
  <si>
    <t xml:space="preserve">¿Mediados de la década de 1990?</t>
  </si>
  <si>
    <t xml:space="preserve">Emergió como un espacio autogestionado para el arte independiente y la música alternativa, ofreciendo una propuesta cultural diversa que incluyó exposiciones y eventos musicales. Por el escenario de Chapinero Mutante pasaron Los Aterciopelados, Hora Local, La Derecha, entre otras bandas del rock emergente de Bogotá, Medellín y Cali.</t>
  </si>
  <si>
    <t xml:space="preserve">https://distritoch.com/chapinero-musical-2/  https://www.vice.com/es/article/matik-matik-cantina-mas-amable-bogota-10-anos-cumpleanos-musica/</t>
  </si>
  <si>
    <t xml:space="preserve">Canela</t>
  </si>
  <si>
    <t xml:space="preserve">cra 4a # 26b-65</t>
  </si>
  <si>
    <t xml:space="preserve">La Macarena</t>
  </si>
  <si>
    <t xml:space="preserve">Salsa, metal</t>
  </si>
  <si>
    <t xml:space="preserve">Canela era un bar de salsa que, en un acuerdo de sus dueños con la comunidad metalera, ponía metal los jueves. Se convirtió así en un espacio único de convivencia de intereses distantes pero en el fondo compatibles que defafió las concepciones tradicionales de las identidades rumberas.</t>
  </si>
  <si>
    <t xml:space="preserve">Cinema club</t>
  </si>
  <si>
    <t xml:space="preserve">cra 14 # 75-46</t>
  </si>
  <si>
    <t xml:space="preserve">Porciúncula</t>
  </si>
  <si>
    <t xml:space="preserve">Era un negocio familiar y un lugar para disfrutar música con la curaduría de los hermanos Gerardo y Nicolás Pachón quienes traían discos de afuera cuando conseguir grabaciones no era tan sencillo. Entre el rock alternativo, el synth pop y la música electrónica, construyó una personalidad alrededor de la fiesta gay y queer. Poco a poco se inclinó más exclusivamente a la música electrónica.
</t>
  </si>
  <si>
    <t xml:space="preserve">POT y Vecinos</t>
  </si>
  <si>
    <t xml:space="preserve">Ecos de la noche: lugares que han forjado la cultura bogotana
https://www.youtube.com/watch?v=4ET8dvaJpaA </t>
  </si>
  <si>
    <t xml:space="preserve">Colombia metal garage</t>
  </si>
  <si>
    <t xml:space="preserve">av caracas # 72</t>
  </si>
  <si>
    <t xml:space="preserve">Metal</t>
  </si>
  <si>
    <t xml:space="preserve">Empezó en Santa Isabel como un lugar de salas de ensayo y luego fue bar, cervecería y ensayadero. En sus redes transmitían ensayos en vivo.</t>
  </si>
  <si>
    <t xml:space="preserve">Obras del metro </t>
  </si>
  <si>
    <t xml:space="preserve">https://www.instagram.com/colombia_metal_garage/ 
https://www.youtube.com/watch?v=4ET8dvaJpaA </t>
  </si>
  <si>
    <t xml:space="preserve">CRAB´s (centro de rock, arte y blues)</t>
  </si>
  <si>
    <t xml:space="preserve">cra 13 # 73</t>
  </si>
  <si>
    <t xml:space="preserve">Rock, blues, metal</t>
  </si>
  <si>
    <t xml:space="preserve">Fundado a principios de la década de los 2000, el bar funcionó en la Carrera 13 con Calle 73 en la zona de Chapinero. Su impacto cultural se consolidó gracias a que fue sede de varios festivales de blues y rock y en el 2003 realizó el primer Blues Unplugged Festival en el al auditorio del Gimnasio Moderno. Se caracterizaba por los videoconciertos de rock clásico que proyectaba en pantallas gigantes</t>
  </si>
  <si>
    <t xml:space="preserve">Se trasladó a Santa Marta</t>
  </si>
  <si>
    <t xml:space="preserve">Cangrejiando, la verdadera historia de lo que pasó con CRAB’S | CARTEL URBANO</t>
  </si>
  <si>
    <t xml:space="preserve">Craps</t>
  </si>
  <si>
    <t xml:space="preserve">Metal, hard rock</t>
  </si>
  <si>
    <t xml:space="preserve">Craps, fue un espacio de metal y hardcore en el norte de la ciudad. Este bar de ambiente oscuro y música pesada, acogió a una comunidad que compartía intereses, brindando un lugar para encontrarse y disfrutar la música pesada.</t>
  </si>
  <si>
    <t xml:space="preserve">https://www.radioacktiva.com/2024/estos-son-los-bares-de-rock-que-desaparecieron-en-bogota-recuerda-alguno-349211.html </t>
  </si>
  <si>
    <t xml:space="preserve">El Anónimo</t>
  </si>
  <si>
    <t xml:space="preserve">av Suba # 106-21</t>
  </si>
  <si>
    <t xml:space="preserve">Niza</t>
  </si>
  <si>
    <t xml:space="preserve">Suba</t>
  </si>
  <si>
    <t xml:space="preserve">Jazz, rock, fusión, electrónica</t>
  </si>
  <si>
    <t xml:space="preserve">Veinte años de conciertos autogestionados en un sótano del Centro Comercial Puente Largo, al norte de Bogotá. Eso fue El Anónimo: casi dos mil fechas entre 2004 y 2023, con una particularidad que pocos escenarios en la ciudad lograron sostener — la mezcla de géneros. Ahí cabían el jazz, el rock, el folclore, la electrónica, la salsa, la fusión y las llamadas músicas del mundo, sin la lógica de nicho que suele encasillar a los bares independientes en un solo género.</t>
  </si>
  <si>
    <t xml:space="preserve">Proyecto inmobiliario</t>
  </si>
  <si>
    <t xml:space="preserve">https://www.elespectador.com/el-magazin-cultural/un-desahucio-anonimo-reverberaciones/  
https://plazacapital.co/escena/6977-el-anonimo-el-bar-de-los-sonidos-alternativos-en-bogota</t>
  </si>
  <si>
    <t xml:space="preserve">El Chamán</t>
  </si>
  <si>
    <t xml:space="preserve">cll 57 # 9</t>
  </si>
  <si>
    <t xml:space="preserve">Hip hop, indie, cumbia, electrónica</t>
  </si>
  <si>
    <t xml:space="preserve">El Chamán era un espacio dedicado a la exploración sonora y al intercambio cultural, construido bajo un principio de negociación justa y condiciones dignas para artistas y DJs. Al mismo tiempo, buscaba ofrecer al público una programación diversa, cuidadosamente curada y en constante diálogo con las distintas expresiones de la escena musical alternativa y emergente.</t>
  </si>
  <si>
    <t xml:space="preserve">Pandemia</t>
  </si>
  <si>
    <t xml:space="preserve">El Goce</t>
  </si>
  <si>
    <t xml:space="preserve">cra 13A # 23-97</t>
  </si>
  <si>
    <t xml:space="preserve">Santa Fe Alameda</t>
  </si>
  <si>
    <t xml:space="preserve">Salsa</t>
  </si>
  <si>
    <t xml:space="preserve">Gustavo Bustamante, Cesar Villegas (Pagano) y Juan Gaviria, fascinados por la salsa de Nueva York, decidieron proponer una rumba distinta de todo lo que había en Bogotá. Se ubicaba en el centro, en la cr 13A  con calle 23 y fue un epicentro salsero donde convergían literatura, música en vivo, debate político, baile y amistad... Se hacía lanzamientos de libros, se leían textos, se pasaban documentales o se hacían recitales.</t>
  </si>
  <si>
    <t xml:space="preserve">Su dueño falleció y hay lugares que son una sola cosa con quien los propició</t>
  </si>
  <si>
    <t xml:space="preserve">https://www.semana.com/agenda/articulo/el-goce-pagano-esta-de-luto-7-recuerdos-y-5-canciones/71855/ , https://www.elespectador.com/el-magazin-cultural/el-goce-pagano-una-descarga-de-cuarenta-anos-article/  https://www.las2orillas.co/el-goce-pagano-donde-gabo-fue-feliz/ </t>
  </si>
  <si>
    <t xml:space="preserve">Estación central</t>
  </si>
  <si>
    <t xml:space="preserve">cll 10 # 3</t>
  </si>
  <si>
    <t xml:space="preserve">Rock </t>
  </si>
  <si>
    <t xml:space="preserve">Fue un escenario pionero para el Rock en español, contemporáneo y vecino de La Casona y Barbarie. trajo bandas de méxico y Argentina, además de múltiples agrupaciones nacionales que pasaron por su escenario. Quedaba en el barrio La Candelaria, su estilo era rústico y como su nombre lo indica tenía en su decoración algunos elementos alusivos a una estación de tren, así como afiches de rock y recortes de prensa.</t>
  </si>
  <si>
    <t xml:space="preserve">La disolución de la pareja Vives - De Francisco conllevó el cierre del bar y del proyecto cultural que fue ese espacio.</t>
  </si>
  <si>
    <t xml:space="preserve">https://youtu.be/k3VKvEAk1RM?si=dYyiiVitcDwMeVnu https://cartelurbano.com/musica/hector-buitrago-escudero-andrea-echeverri</t>
  </si>
  <si>
    <t xml:space="preserve">Familia ayara</t>
  </si>
  <si>
    <t xml:space="preserve">av Caracas # 39-50</t>
  </si>
  <si>
    <t xml:space="preserve">La Magdalena</t>
  </si>
  <si>
    <t xml:space="preserve">Teusaquillo</t>
  </si>
  <si>
    <t xml:space="preserve">Hip hop</t>
  </si>
  <si>
    <t xml:space="preserve">Familia Ayara fue una organización cultural que promovió la cultura de paz através del Hip hop, el brakedance, el dancehall, el diseño de moda y el grafitti, organizando talleres gratuitos para niños y jóvenes de las localidades de Bogotá. Trabajaban desarrollando procesos de formación pedagógica y artística. Tuvo varias sedes, la última de ellas en Chapinero (cr 7 # 50-20), en un edificio de cinco pisos dedicado al arte, en el que trabajó un equipo de cerca de 50 personas más voluntarios y practicantes.</t>
  </si>
  <si>
    <t xml:space="preserve">https://www.vice.com/es/article/hip-hop-arte-paz-familia-ayara/ https://www.radionica.rocks/podcasts/calle-radionica/la-familia-ayara-la-familia-del-hip-hop-colombiano https://www.youtube.com/watch?v=Ck2-_DhIhjs</t>
  </si>
  <si>
    <t xml:space="preserve">cra 7 # 50-20</t>
  </si>
  <si>
    <t xml:space="preserve">Pardo Rubio</t>
  </si>
  <si>
    <t xml:space="preserve">Familia Ayara fue una organización cultural que promovió la cultura de paz através del Hip hop, el brakedance, el dancehall, el diseño de moda y el grafitti, organizando talleres gratuitos para niños y jóvenes de las localidades de Bogotá. Trabajaban desarrollando procesos de formación pedagógica y artística. Tuvo varias sedes, la última de ellas en Chapinero, en un edificio de cinco pisos dedicado al arte, en el que trabajó un equipo de cerca de 50 personas más voluntarios y practicantes.</t>
  </si>
  <si>
    <t xml:space="preserve">Fantasio</t>
  </si>
  <si>
    <t xml:space="preserve">cll 17 sur  # 16</t>
  </si>
  <si>
    <t xml:space="preserve">Restrepo</t>
  </si>
  <si>
    <t xml:space="preserve">Antonio Nariño</t>
  </si>
  <si>
    <t xml:space="preserve">Chucu-chucu, LGBTQ+</t>
  </si>
  <si>
    <t xml:space="preserve">Década de 1980</t>
  </si>
  <si>
    <t xml:space="preserve">En la década de 1980 la rumba gay empezaba desde temprano en Fantasio, un bar en el Restrepo ubicado en el segundo piso de un edificio de los años sesenta. A este bar llegaba todo el mundo, no sólo la gente del sector. Cuentan que se veían carros diplomáticos y rumberos variados que compartían la condición de ilegalidad. La cerveza costaba $500 y se ponía chucu-chucu. Había un temor presente por la pandemia del VIH y la rumba era un espacio para liberar la ansiedad y el miedo.</t>
  </si>
  <si>
    <t xml:space="preserve">Sin documentación</t>
  </si>
  <si>
    <t xml:space="preserve">https://uploads.knightlab.com/storymapjs/f5a82cd32b8b5d783dbd5eaecb55ac58/un-recorrido-por-la-fiesta-gay-a-finales-de-siglo-en-bogota/index.html  </t>
  </si>
  <si>
    <t xml:space="preserve">La FlorHisteria</t>
  </si>
  <si>
    <t xml:space="preserve">cll 65 # 7 </t>
  </si>
  <si>
    <t xml:space="preserve">Rock alternativo</t>
  </si>
  <si>
    <t xml:space="preserve">Este bar llevó a Chapinero sonidos alternos anglosajones como el grunge y el rock experimental. Sonaban Pixies, Nirvana, Radiohead, pero al final de la noche, cerraba la música electrónica. Algunos lo consideran precursor en esta escena.</t>
  </si>
  <si>
    <t xml:space="preserve">La ley zanahoria</t>
  </si>
  <si>
    <t xml:space="preserve">https://www.facebook.com/kbespacioparalacultura/posts/arte-alternativo-y-bares-de-los-90s-en-bogot%C3%A1bogot%C3%A1-1987-1994-en-una-ciudad-con-/3455812274513640/</t>
  </si>
  <si>
    <t xml:space="preserve">Gótica</t>
  </si>
  <si>
    <t xml:space="preserve">cra 14 # 82 - 50</t>
  </si>
  <si>
    <t xml:space="preserve">Zona T</t>
  </si>
  <si>
    <t xml:space="preserve">House, hip hop, crossover</t>
  </si>
  <si>
    <t xml:space="preserve">En tiempos de la Ley Zanahoria fue uno de los pocos bares que funcionaba hasta el amanecer. Se presentaron allí Gustavo Cerati, La Ley y El General. Era un lugar costoso y requería membresía o invitación para poder entrar.</t>
  </si>
  <si>
    <t xml:space="preserve">Disputas legales con la alcaldía</t>
  </si>
  <si>
    <t xml:space="preserve">Gótica, todo un amanecedero  https://www.elespectador.com/bogota/el-rey-de-la-zona-rosa-article-113565/</t>
  </si>
  <si>
    <t xml:space="preserve">Heaven</t>
  </si>
  <si>
    <t xml:space="preserve">av Caracas # 64</t>
  </si>
  <si>
    <t xml:space="preserve">Amanecedero</t>
  </si>
  <si>
    <t xml:space="preserve">Amanecedero de Chapinero. ¿Funcionó en la década de 1990 o después?</t>
  </si>
  <si>
    <t xml:space="preserve">InVitro</t>
  </si>
  <si>
    <t xml:space="preserve">cll 59 # 6-36</t>
  </si>
  <si>
    <t xml:space="preserve">La Salle</t>
  </si>
  <si>
    <t xml:space="preserve">Cine, música alternativa, soul, r&amp;b, funk, jazz, tango, bolero</t>
  </si>
  <si>
    <t xml:space="preserve">Icónico establecimiento de la escena alternativa bogotana, nació a finales de la década de 1990. Además de ser famoso por sus fiestas a mitad de semana, fue el hogar que vio nacer el espacio audiovisual In Vitro Visual en 2003 que, posteriormente, evolucionó para convertirse en lo que hoy se conoce como el festival de cine BOGOSHORTS.</t>
  </si>
  <si>
    <t xml:space="preserve">Evolución en los proyectos de sus socios.</t>
  </si>
  <si>
    <t xml:space="preserve">https://distritoch.com/chapinero-musical-2/
https://www.eltiempo.com/archivo/documento/mam-2135716 
https://www.eltiempo.com/archivo/documento/mam-1629073 
https://www.eltiempo.com/archivo/documento/mam-1675167 </t>
  </si>
  <si>
    <t xml:space="preserve">Kaliman</t>
  </si>
  <si>
    <t xml:space="preserve">cll 82 # 14</t>
  </si>
  <si>
    <t xml:space="preserve">Lago Gaitán</t>
  </si>
  <si>
    <t xml:space="preserve">Ska, hip-hop, punk, rock mexicano y argentino, electrónica</t>
  </si>
  <si>
    <t xml:space="preserve">Fue una casa de familia que se adaptó a las necesidades del bar, por eso la peculiar tarima con un árbol gigante en la mitad. Héctor Buitrago y sus socios decidieron no tumbar el árbol, sino adaptar el espacio para que pudiera convivir junto con la música.
El bar exploró varios género músicales: se ponía ska, hip-hop, punk, rock mexicano y argentino, y al final de la noche música electrónica. De una u otra manera, ahí empezó a nacer la escena electrónica en Bogotá.</t>
  </si>
  <si>
    <t xml:space="preserve">especulación: En enero de 1995, el alcalde de Bogotá Antanas Mockus decidió implementar una ley que obligaba a los establecimientos de esparcimiento a cerrar a la 1 de la madrugada. La ‘Ley Zanahoria’ buscó bajar las tasas de criminalidad y homicidios en la ciudad.</t>
  </si>
  <si>
    <t xml:space="preserve">https://razonpublica.com/erase-una-vez-los-noventa-la-movida-rockera-alternativa-bogota/
https://www.facebook.com/LaNewOlderNonStop/posts/la-new-older-un-lugar-llamado-kaliman-hace-7-a%C3%B1os-decidimos-hacer-una-de-las-fie/1218705653487585/ 
https://www.instagram.com/rock.bogotano/p/C8j1Odlutjx/ </t>
  </si>
  <si>
    <t xml:space="preserve">Kámara de Gaz</t>
  </si>
  <si>
    <t xml:space="preserve">cra 16 # 33</t>
  </si>
  <si>
    <t xml:space="preserve">Ska, metal, hardcore, punk</t>
  </si>
  <si>
    <t xml:space="preserve">Funcionaba en un sótano y su ambiente denso y oscuro era escenario de pogos todos los fines de semana. Era un bar clandestino que lidiaba constantemente con las redadas policiales.</t>
  </si>
  <si>
    <t xml:space="preserve">Posiblemente por la Ley Zanahoria.</t>
  </si>
  <si>
    <t xml:space="preserve">Keops</t>
  </si>
  <si>
    <t xml:space="preserve">cll 96 # 10-54</t>
  </si>
  <si>
    <t xml:space="preserve">Chicó Norte</t>
  </si>
  <si>
    <t xml:space="preserve">Salsa, vallenato, merengue, disco, reggue</t>
  </si>
  <si>
    <t xml:space="preserve">Era un club en el que programaban conciertos de gente muy famosa, por ejemplo, Héctor Lavoe, Willie Colón, Cheo Feliciano, Diomedes Diaz, el Binomio de Oro, Wilfrido Vargas, etc. El ingreso era exclusivo y tenía código de vestuario. Era un sitio farandulero por el que pasaban personajes como Amparo Grisales, Fernando Botero, García Márquez, Ardila Lülle, los hermanos Ochoa y Carlos Lehder.</t>
  </si>
  <si>
    <t xml:space="preserve">Diferencias y peleas entre sus fundadores.</t>
  </si>
  <si>
    <t xml:space="preserve">https://www.eltiempo.com/don-juan/historias/discoteca-keops-el-templo-de-la-rumba-en-bogota-en-los-anos-ochenta+articulo+14341057</t>
  </si>
  <si>
    <t xml:space="preserve">La Bomba</t>
  </si>
  <si>
    <t xml:space="preserve">cll 60 # 9-71</t>
  </si>
  <si>
    <t xml:space="preserve">Rock go-go</t>
  </si>
  <si>
    <t xml:space="preserve">mediados de los años 60</t>
  </si>
  <si>
    <t xml:space="preserve">Mediados de la década de 1970</t>
  </si>
  <si>
    <t xml:space="preserve">Fue uno de los bares rockanrolleros más importantes de Bogotá en la década de 1960. Tenía capacidad para 800 "cocacolos", la tarima giraba180 grados y tenía muy buen equipamento de iluminación y amplificación. Funcionaba como matineé para menores en las tardes y, en las noches, rumba. Por allí pasaron bandas tempranas de la cultura del rock local como Los Flippers y The Speakers.</t>
  </si>
  <si>
    <t xml:space="preserve">Decadencia de la primera ola de rock go-go  y políticas restrictivas sobre el horario y regulación de los establecimientos.</t>
  </si>
  <si>
    <t xml:space="preserve">Chapinero musical https://www.facebook.com/groups/1625807161005358/posts/3088843384701721/ https://www.facebook.com/groups/1287875097929717/posts/8101215796595579/</t>
  </si>
  <si>
    <t xml:space="preserve">La Casona</t>
  </si>
  <si>
    <t xml:space="preserve">cll 10 # 2-43</t>
  </si>
  <si>
    <t xml:space="preserve">Rock alternativo,         dance alternativo, house, jangle pop, rock psicodélico, acid house, breakbeat, indie rock, neo-psicodelia</t>
  </si>
  <si>
    <t xml:space="preserve">Ubicada en el barrio La Candelaria, compartía calle con Barbarie y Estación Central. Fue uno de los pilares de la escena de rock alternativo en Bogotá a finales de las décadas de 1980 y 1990. Redefinió la rumba y la noche en un momento crítico del país en el que escaseaban espacios para el arte y el disfrute de músicas alterativas, diferentes de las que sonaban en la radio de manera comercial.</t>
  </si>
  <si>
    <t xml:space="preserve">Documentación no encontrada</t>
  </si>
  <si>
    <t xml:space="preserve">Bogota Cuentas las Artes 2019 MLR-10-09-20.pdf https://www.youtube.com/watch?v=k3VKvEAk1RM&amp;t=26s</t>
  </si>
  <si>
    <t xml:space="preserve">La Estrella del Patillal</t>
  </si>
  <si>
    <t xml:space="preserve">cll 57 #24-41 (También dicen que quedaba en la calle 53. ¿Cambió de ubicación?</t>
  </si>
  <si>
    <t xml:space="preserve">Galerías</t>
  </si>
  <si>
    <t xml:space="preserve">Vallenato</t>
  </si>
  <si>
    <t xml:space="preserve">1986?</t>
  </si>
  <si>
    <t xml:space="preserve">Lugar de culto vallenatero de los años ochenta y noventa en Bogotá. Su dueño era, paradójicamente, un boyacense llamado Pablo Rodríguez. Entre los documentos encontramos una boleta para un concierto en 2008. ¿Era el mismo lugar?</t>
  </si>
  <si>
    <t xml:space="preserve">https://www.eltiempo.com/archivo/documento/mam-902455, https://www.youtube.com/watch?v=HI6Mqkk7ni4, https://laestrelladepatillal.blogspot.com/</t>
  </si>
  <si>
    <t xml:space="preserve">La Gioconda</t>
  </si>
  <si>
    <t xml:space="preserve">cll 63 # 13</t>
  </si>
  <si>
    <t xml:space="preserve">Finales de la dédaca de 1980</t>
  </si>
  <si>
    <t xml:space="preserve">La Gioconda fue pionero en ofrecer un espacio para la música rock en vivo. Se consolidó y fue la casa de las bandas del momento: Los Speakers y Los Flippers, que con su sonido psicodélico se convirtieron en una de las primeras bandas de rock de sello «Hecho en Colombia». Con La Gioconda se inauguró la movida del rock en Chapinero. Algunos de aquellos que asistieron al lugar, recuerdan que tenía un llamativo escenario giratorio.</t>
  </si>
  <si>
    <t xml:space="preserve">No sabemos.</t>
  </si>
  <si>
    <t xml:space="preserve">https://distritoch.com/chapinero-musical-2/
https://www.facebook.com/share/p/1DfiVWgdTQ/ 
</t>
  </si>
  <si>
    <t xml:space="preserve">La Normanda</t>
  </si>
  <si>
    <t xml:space="preserve">cll 22 # 9-22</t>
  </si>
  <si>
    <t xml:space="preserve">Tunas, palos de flamenco, duetos y tríos</t>
  </si>
  <si>
    <t xml:space="preserve">Restaurante de comida típica cundiboyacense, fundado por un campesino de Sotaquirá (Boyacá), que trabajó en una hacienda de toros normandos antes de trasladarse a Bogotá. La Normanda fue un lugar de encuentros y celebraciones familiares como, bautizos, matrimonios, aniversarios, etc. Se caracterizó por la presencia de música en vivo de conjuntos, duetos y trios de música popular.</t>
  </si>
  <si>
    <t xml:space="preserve">Desde comienzos de los 2000 empezó su declive debido a los cambios de ubicación de distintas empresas de telecomunicaciones (canal Caracol, Inravisión, Radio Sutatenza) que aportaban una clientela fija. Algunos cambios en las dinámicas de la zona afectaron el negocio y finalmente, debido a la pandemia de Covid-19 y la especulación inmobiliaria, tuvo que cerrar por iliquidez. Al cerrar subastaron todo lo que conformaba el lugar.</t>
  </si>
  <si>
    <t xml:space="preserve">https://www.eltiempo.com/bogota/el-restaurante-la-normanda-de-bogota-cerro-sus-puertas-645510, 
https://www.las2orillas.co/el-lento-y-doloroso-funeral-de-un-antiguo-restaurante-del-centro-bogotano/ </t>
  </si>
  <si>
    <t xml:space="preserve">La Sala</t>
  </si>
  <si>
    <t xml:space="preserve">cr 14A No. 83-44</t>
  </si>
  <si>
    <t xml:space="preserve">El Retiro</t>
  </si>
  <si>
    <t xml:space="preserve">¿Finales de la década del 2000?</t>
  </si>
  <si>
    <t xml:space="preserve">La Sala Disco Club fue un bar ubicado en la Zona Rosa, donde las noches se vivían al ritmo del tecno, technohouse, progressive house y electroclash. Pinchaban ahí DJ´s como Camila, Julián Peña y Virgensanta. Estuvo abierto en la pimera década del 2000.</t>
  </si>
  <si>
    <t xml:space="preserve">https://www.radionica.rocks/cultura/analisis/ecos-de-la-noche-lugares-que-han-forjado-la-cultura-bogotana, https://es.ra.co/clubs/7250</t>
  </si>
  <si>
    <t xml:space="preserve">La Teja Corrida</t>
  </si>
  <si>
    <t xml:space="preserve">cll 5 # 26c-54</t>
  </si>
  <si>
    <t xml:space="preserve">Inicios de la dédaca de 1980</t>
  </si>
  <si>
    <t xml:space="preserve">Era un lugar frecuentado por figuras de la cultura y la política nacional, allí se presentó "Salsa Brava" una de las primeras agrupaciones salseras de mujeres. Pasaron por allí Guayacán Orquesta, Jairo Varela, y la primera banda de César Mora, Son del Pueblo.</t>
  </si>
  <si>
    <t xml:space="preserve">https://www.eltiempo.com/archivo/documento/mam-1364535, https://www.facebook.com/TropicanaColombia/videos/guayac%C3%A1n-orquesta-la-teja-corrida-el-sitio-de-bogot%C3%A1-que-recuerdan/3651164081799694/ https://apidspace.javeriana.edu.co/server/api/core/bitstreams/e5625003-c95e-4541-b56f-73ccb1e53118/content</t>
  </si>
  <si>
    <t xml:space="preserve">Las Moscas</t>
  </si>
  <si>
    <t xml:space="preserve">cra 7 # 43</t>
  </si>
  <si>
    <t xml:space="preserve">Sucre</t>
  </si>
  <si>
    <t xml:space="preserve">Postpunk, electrónica, synth pop</t>
  </si>
  <si>
    <t xml:space="preserve">Mediados de la década de 1990</t>
  </si>
  <si>
    <t xml:space="preserve">Finales de la dédaca de 1990</t>
  </si>
  <si>
    <t xml:space="preserve">Bar pequeño y discreto en las inmediaciones de la Universidad Javeriana, asociado a la movida underground postpunk de Bogotá.</t>
  </si>
  <si>
    <t xml:space="preserve">Poca rentabilidad y nicho reducido</t>
  </si>
  <si>
    <t xml:space="preserve">La movida postpunk en Bogotá sigue fuerte en la clandestinidad | Cartel Urbano</t>
  </si>
  <si>
    <t xml:space="preserve">Macondo</t>
  </si>
  <si>
    <t xml:space="preserve">cr 13a # 78-61</t>
  </si>
  <si>
    <t xml:space="preserve">Espartillal</t>
  </si>
  <si>
    <t xml:space="preserve">Ska, neo punk, ska punk y hardcore</t>
  </si>
  <si>
    <t xml:space="preserve">Finales de la década de 1990</t>
  </si>
  <si>
    <t xml:space="preserve">Mediados de la década del 2000</t>
  </si>
  <si>
    <t xml:space="preserve">Macondo era "un roto", un escenario bien punkero por la zona T donde se hicieron toques de bandas de ska, neo punk y hardcore. Pogo y música, sin sillas ni mesas.</t>
  </si>
  <si>
    <t xml:space="preserve">Persecusión institucional</t>
  </si>
  <si>
    <t xml:space="preserve">Tropical Punk Records: Recordando la escena neo bogotana</t>
  </si>
  <si>
    <t xml:space="preserve">Music factory</t>
  </si>
  <si>
    <t xml:space="preserve">cr 13 # 81-50</t>
  </si>
  <si>
    <t xml:space="preserve">Espatillal</t>
  </si>
  <si>
    <t xml:space="preserve">New Wave, Postpunk, Rock alternativo</t>
  </si>
  <si>
    <t xml:space="preserve">Music Factory fue el bar alternativo de la zona de la T, antes de la llegada de Kalimán, y uno de los primeros bares de la escena electrónica. </t>
  </si>
  <si>
    <t xml:space="preserve">Ley Zanahoria</t>
  </si>
  <si>
    <t xml:space="preserve">https://www.facebook.com/share/p/1DEnufi25x/ 
https://blogs.eltiempo.com/el-blogotazo/2009/07/02/viaje-en-el-tiempo-por-aquella-82/ https://www.elespectador.com/bogota/el-rey-de-la-zona-rosa-article-113565/</t>
  </si>
  <si>
    <t xml:space="preserve">Nutabes</t>
  </si>
  <si>
    <t xml:space="preserve">cll 19 # 4</t>
  </si>
  <si>
    <t xml:space="preserve">Rock, Salsa, Electrónica, Tropical, Vallenato</t>
  </si>
  <si>
    <t xml:space="preserve">Nutabes era un pequeño centro comercial, que abría a medio día y cerraba a la 1 am, con puertas de cristal y rampas en su interior, que quedaba por la calle 19, entre las carreras cuarta y quinta. Por su ubicación estratégica, llamó la atención de comerciantes  y propietarios de bares y discotecas.  La rumba era menos costosa que hacia el norte de la ciudad y en el mismo sitio había bares para todos los gustos: salsa, rock, vallenato, techno...por lo cual era un éxito para los universitarios.</t>
  </si>
  <si>
    <t xml:space="preserve">Asedio Policial</t>
  </si>
  <si>
    <t xml:space="preserve">https://www.las2orillas.co/nutabes-el-templo-de-la-rumba-bogotana-donde-la-fiesta-arrancaba-desde-el-medio-dia-hasta-la-madrugada/ </t>
  </si>
  <si>
    <t xml:space="preserve">Ozzy bar</t>
  </si>
  <si>
    <t xml:space="preserve">av Boyacá # 64F-15</t>
  </si>
  <si>
    <t xml:space="preserve">El Paseo</t>
  </si>
  <si>
    <t xml:space="preserve">Engativá</t>
  </si>
  <si>
    <t xml:space="preserve">Metal, rock</t>
  </si>
  <si>
    <t xml:space="preserve">Segunda sede. Punto de encuentro del rock nacional por donde pasaron grupos como Kraken, Superlitio, No te va a Gustar o Brujería. También tocaban muchas bandas tributo y organizaban eventos rockeros familiares.</t>
  </si>
  <si>
    <t xml:space="preserve">https://www.rockombia.com/noticias/ozzy-bar-cumple-19-anos.html</t>
  </si>
  <si>
    <t xml:space="preserve">cra 100 # 23-90 (Es la dirección actual. La primera sede era en Fontibón pero no sabemos si aquí mismo)</t>
  </si>
  <si>
    <t xml:space="preserve">Fontibón</t>
  </si>
  <si>
    <t xml:space="preserve">Primera sede en Fontibón. Punto de encuentro del rock nacional por donde pasaron grupos como Kraken, Superlitio, No te va a Gustar o Brujería. También tocaban muchas bandas tributo y organizaban eventos rockeros familiares.</t>
  </si>
  <si>
    <t xml:space="preserve">Traslado</t>
  </si>
  <si>
    <t xml:space="preserve">https://www.eltiempo.com/archivo/documento/mam-5382191</t>
  </si>
  <si>
    <t xml:space="preserve">Pins</t>
  </si>
  <si>
    <t xml:space="preserve">cll 50B sur # 35</t>
  </si>
  <si>
    <t xml:space="preserve">Fátima</t>
  </si>
  <si>
    <t xml:space="preserve">Tunjuelito</t>
  </si>
  <si>
    <t xml:space="preserve">Discoteca Pin's, inaugurada en 1996 ubicada en  la Calle  50B Sur , acera oriental, entre las Carreras 35 y 36, en el Barrio Fátima, Tunjuelito.
Era un punto de encuentro para aquellos que buscaban una experiencia única. Los jóvenes se trasladaban hasta allí para disfrutar de presentaciones artísticas y sumergirse en el ambiente cultural que ofrecía.</t>
  </si>
  <si>
    <t xml:space="preserve">https://www.facebook.com/groups/1287875097929717/posts/7655248604525636/</t>
  </si>
  <si>
    <t xml:space="preserve">Piscis</t>
  </si>
  <si>
    <t xml:space="preserve">¿cll 23 # 10?</t>
  </si>
  <si>
    <t xml:space="preserve">LGBTQ+</t>
  </si>
  <si>
    <t xml:space="preserve">¿1980?</t>
  </si>
  <si>
    <t xml:space="preserve">Bar en el centro de Bogotá administrado por Plinio Carvajal, activo justo antes de que empezara la década de los noventa (finales de los ochenta). Era sinónimo de transgresión: tinas con hombres bañados en gelatina y leche condensada, trapecistas sobrevolando al público, una "iglesia" interna con hombres vestidos de santos a los que la gente podía tocar y pedirles milagros. Manuel Antonio Velandia — activista pionero en la prevención del VIH en Colombia — recuerda que ahí, por miedo a que los infectados no llegaran a diciembre, Plinio organizaba la Navidad en junio, con un pesebre de personas reales y una mujer trans como la Virgen María. El bar tenía publicidad de Plinio en la revista Ventana Gay, la primera publicación gay del país. Desapareció con la muerte de Plinio.
¨El movimiento homosexual liderado por Manuel Velandia desarrolló la publicación Ventana Gay en la que había publicidad de Plinio, así como reflexiones, noticias y opiniones sobre la comunidad. Luego, según cuenta Manuel, sería Edison quien abriría las puertas al activismo permitiendo la circulación de revistas y folletos de prevención contra el VIH, pero también en sus tarimas, algo que ya había adelantado Plinio de una manera menos organizada.¨</t>
  </si>
  <si>
    <t xml:space="preserve">Muerte del dueño</t>
  </si>
  <si>
    <t xml:space="preserve">https://cartelurbano.com/libreydiverso/la-clandestinidad-y-el-activismo-de-la-fiesta-gay-en-la-bogota-de-los-noventa 
https://uploads.knightlab.com/storymapjs/f5a82cd32b8b5d783dbd5eaecb55ac58/un-recorrido-por-la-fiesta-gay-a-finales-de-siglo-en-bogota/index.html</t>
  </si>
  <si>
    <t xml:space="preserve">Las Calles de San Francisco</t>
  </si>
  <si>
    <t xml:space="preserve">¿cra 10 #22?</t>
  </si>
  <si>
    <t xml:space="preserve">Centro</t>
  </si>
  <si>
    <t xml:space="preserve">Bar gay en el centro de Bogotá fundado por Plinio Carvajal.</t>
  </si>
  <si>
    <t xml:space="preserve">https://www.eltiempo.com/archivo/documento/mam-780668</t>
  </si>
  <si>
    <t xml:space="preserve">Piso 3</t>
  </si>
  <si>
    <t xml:space="preserve">ac. 32 # 13-45</t>
  </si>
  <si>
    <t xml:space="preserve">Samper</t>
  </si>
  <si>
    <t xml:space="preserve">Electrónica, punk</t>
  </si>
  <si>
    <t xml:space="preserve">Piso 3 abrió en el 2004, con la iniciativa de ser un escenario para conciertos de punk, con un espíritu contestatario a dos años de la primera elección del gobierno Uribe.  </t>
  </si>
  <si>
    <t xml:space="preserve">https://www.radionica.rocks/cultura/analisis/ecos-de-la-noche-lugares-que-han-forjado-la-cultura-bogotana, https://www.tiktok.com/@unlugaroscuro666/video/7575529743303544085</t>
  </si>
  <si>
    <t xml:space="preserve">Púrpura</t>
  </si>
  <si>
    <t xml:space="preserve">av Caracas # 64-47</t>
  </si>
  <si>
    <t xml:space="preserve">Amanecedero, rock</t>
  </si>
  <si>
    <t xml:space="preserve">¿1990?</t>
  </si>
  <si>
    <t xml:space="preserve">Activo</t>
  </si>
  <si>
    <t xml:space="preserve">Icónico amanecedero rockero de Chapinero.</t>
  </si>
  <si>
    <t xml:space="preserve">Sigue abierto</t>
  </si>
  <si>
    <t xml:space="preserve">https://www.vice.com/es/article/seis-sitios-para-rematarla-con-toda-despues-de-rock-al-parque/ https://www.tiktok.com/@unlugaroscuro666/video/7575529743303544085</t>
  </si>
  <si>
    <t xml:space="preserve">Radio Berlin</t>
  </si>
  <si>
    <t xml:space="preserve">Frente a la plaza de Toros</t>
  </si>
  <si>
    <t xml:space="preserve">Radio Berlín fue una discoteca techno que se destacó en Bogotá por traer Dj's internacionales y por haber servido de conector para la escena electrónica en Bogotá. La cabina estaba envuelta por una reja, por lo que al bar también se le llamaba "la jaula". Cuando se mudó a la carrera 8 con calle 19 en 2016, se instaló en un local subterráneo en el que había dos ambientes, uno rockero y otro de pura electrónica. Se despidió con una fiesta de 4 días en 2023 y se creyó que sería su cierre definitivo. Sin embargo reabrió sus puertas en un tercer piso en el barrio Chapinero, donde funciona hasta hoy.</t>
  </si>
  <si>
    <t xml:space="preserve">Tuvo un cambio de locación en 2016, migrando de la plaza de toros a Chapinero, en 2023 cerró debido a la crisis que siguió a la pandemia de Covid-19. Actualmente se encuentra nuevamente en funcionamiento.</t>
  </si>
  <si>
    <t xml:space="preserve">Esta legendaria discoteca cerrará sus puertas en Bogotá y depertó la nostalgia de algunos capitalinos – Publimetro Colombia https://www.vice.com/es/article/radio-berln-como-nombre-cierra-pero-el-espritu-seguir-en-otro-sitio/ https://www.eltiempo.com/bogota/discoteca-radio-berlin-en-bogota-se-acaba-y-hara-impresionante-fiesta-789100 https://www.infobae.com/colombia/2023/07/25/esta-reconocida-discoteca-de-bogota-cerrara-sus-puertas-para-siempre/ https://www.instagram.com/radioberlin_/?hl=es https://technobeatscloud.com/escena/clubes/radio-berlin-co-dc-bogota</t>
  </si>
  <si>
    <t xml:space="preserve">Ramona Antigua</t>
  </si>
  <si>
    <t xml:space="preserve">cra 13 # 85</t>
  </si>
  <si>
    <t xml:space="preserve">Bar de rumba bohemia y conciertos en vivo de distintos géneros, frecuentado por la clase alta intelectual de la ciudad. Fue también un semillero musical, pues organizaba permanentemente concursos de canto. Ha tenido varias sedes y varios cierres desde su fundación.</t>
  </si>
  <si>
    <t xml:space="preserve">https://www.eltiempo.com/archivo/documento/mam-1529482</t>
  </si>
  <si>
    <t xml:space="preserve">Revolution</t>
  </si>
  <si>
    <t xml:space="preserve">Revolution, situado en el centro de Bogotá, era el lugar ideal para los amantes del rock clásico. Con una estética inspirada en los años 70 y 80, este bar se ganó el corazón de sus visitantes con una selección musical que incluía desde The Rolling Stones hasta Led Zeppelin. Revolution también fue sede de noches de vinilos y tributos que recordaban la época dorada del rock. A pesar de sus esfuerzos por mantenerse a flote, Revolution no pudo sobrevivir a las restricciones y cambios en el sector del entretenimiento.</t>
  </si>
  <si>
    <t xml:space="preserve">https://www.radioacktiva.com/2024/estos-son-los-bares-de-rock-que-desaparecieron-en-bogota-recuerda-alguno-349211.html</t>
  </si>
  <si>
    <t xml:space="preserve">Rotten Rats</t>
  </si>
  <si>
    <t xml:space="preserve">cll 94 #14</t>
  </si>
  <si>
    <t xml:space="preserve">Punk</t>
  </si>
  <si>
    <t xml:space="preserve">Se dice que en Rotten Rats Las 1280 Almas hicieron su primer concierto fuera de la Universidad Nacional. </t>
  </si>
  <si>
    <t xml:space="preserve">Socorro</t>
  </si>
  <si>
    <t xml:space="preserve">cra 6 # 26b-57</t>
  </si>
  <si>
    <t xml:space="preserve">San Diego</t>
  </si>
  <si>
    <t xml:space="preserve">Rock, pop, Electrónica, Punk, Postpunk,  Tropicanibalismo</t>
  </si>
  <si>
    <t xml:space="preserve">Con sólo cuatro mesas, Socorro fue un restaurante antes de ser un bar en un local frente a la plaza de toros La Santamaría. Parecía pequeño, pero escaleras abajo continuaba en un sótano donde estaba la tarima. Por allí pasaron bandas de música fusión del tropicanibalismo. En halloween solían hacer concursos de disfraces con motivos ochenteros y en 2006 organizaron un festival llamado Socorrock.</t>
  </si>
  <si>
    <t xml:space="preserve">Bar underground / 'Socorro', el más alternativo https://elmalpensante.com/articulo/postpunk-en-bogota-el-florecimiento-mas-alla-de-tiktok https://www.flickr.com/photos/kikebarona/14964846530/</t>
  </si>
  <si>
    <t xml:space="preserve">Terraza Pasteur</t>
  </si>
  <si>
    <t xml:space="preserve">cra 7 # 23-56</t>
  </si>
  <si>
    <t xml:space="preserve">Existieron cerca de 80 sitios en Terraza Pasteur en los que se tertuliaba, se lanzaban publicaciones, se mostraban películas y se bailaba. Se recuerdan Sepia, Imágenes, Café Cinema, Concierto para delinquir, El Habana Café, Sonmarino, Sol y Luna, Casa de citas (ahora en La Candelaria). </t>
  </si>
  <si>
    <t xml:space="preserve">Cerró durante un tiempo por cuestiones judiciales relacionadas con la prohibición de consumo de licor dentro del centro comercial. Los sitios se quebraron o se mudaron a otras partes.</t>
  </si>
  <si>
    <t xml:space="preserve">Adiós a los bares del Terraza Pasteur, la rumba del centro de Bogotá https://www.pulzo.com/nacion/bogota/centro-comercial-terraza-pasteur-que-estaba-ruinas-reabrio-sus-puertas-PP3875628A</t>
  </si>
  <si>
    <t xml:space="preserve">Tocata y fuga</t>
  </si>
  <si>
    <t xml:space="preserve">dg 34 # 4-38</t>
  </si>
  <si>
    <t xml:space="preserve">La Merced</t>
  </si>
  <si>
    <t xml:space="preserve">Jazz</t>
  </si>
  <si>
    <t xml:space="preserve">Fundado por Beatriz Castaño y su hijo, el reconocido músico Juan Sebastián Monsalve, el establecimiento estuvo activo durante un poco más de cuatro años. A pesar de su corta trayectoria, se convirtió en un pilar fundamental para la escena musical en vivo de la capital colombiana, sirviendo como laboratorio y punto de partida para bandas legendarias como La 33 o Curupira</t>
  </si>
  <si>
    <t xml:space="preserve">Guía práctica de navegación por el universo de Jazz al Parque </t>
  </si>
  <si>
    <t xml:space="preserve">Transilvania</t>
  </si>
  <si>
    <t xml:space="preserve">cra 7 # 59 -18</t>
  </si>
  <si>
    <t xml:space="preserve">Con una atmósfera lúgubre, gótica e industrial este espacio era amplio y estaba acondicionado para conciertos y fiestas capaces de albergar un aforo importante, a diferencia de otros espacios dedicados a la escena independiente. Se dice que un lazo grueso colgaba del techo y era usado por los asistentes para colgarse y balancearse. Organizó el primer concierto de Caifanes en Bogotá y con la producción de eventos de magnitud significativa demostró la posibilidad de hacer de los conciertos un negocio sostenible.</t>
  </si>
  <si>
    <t xml:space="preserve">Ecos de la noche: lugares que han forjado la cultura bogotana                                                La New Older - TRANSILVANIA BAR, La Ley del Ruido 🪩🖤 Bogotá, año... | Facebook  </t>
  </si>
  <si>
    <t xml:space="preserve">tvg (Te Veo Grave)</t>
  </si>
  <si>
    <t xml:space="preserve">cll 53 #10-50</t>
  </si>
  <si>
    <t xml:space="preserve">Industrial, postpunk, newave</t>
  </si>
  <si>
    <t xml:space="preserve">Funcionó en una bodega que había pertenecido a un grupo teatral, adaptada por Alberto Lezaca como bar con la idea de abrir un escenario a grupos emergentes locales de música experimental electrónica que no tenían un espacio para presentarse, y así mismo traer grupos de la escena underground latinoamericana. Se presentaron allí, entre otros, Hora Local, Malamuerte, Estados Alterados y Nueve.</t>
  </si>
  <si>
    <t xml:space="preserve">Cerró porque su fundador Alberto Lezaca sintió que muchos de los proyectos interesantes que allí se gestaban se disolvían en la fiesta y no se concretaban. Más que la rumba a Lezaca le interesaba hacer música.</t>
  </si>
  <si>
    <t xml:space="preserve">Poster: https://www.instagram.com/p/CXSRi6elcdl/ </t>
  </si>
  <si>
    <t xml:space="preserve">Vallenato: El Rincón de Rafael Ricardo</t>
  </si>
  <si>
    <t xml:space="preserve">cll 85 # 14-55</t>
  </si>
  <si>
    <t xml:space="preserve">https://www.eltiempo.com/amp/archivo/documento/CMS-3596903  </t>
  </si>
  <si>
    <t xml:space="preserve">Vena Arteria</t>
  </si>
  <si>
    <t xml:space="preserve">cll 27 # 4-35</t>
  </si>
  <si>
    <t xml:space="preserve">Punk, rock, funk, ska</t>
  </si>
  <si>
    <t xml:space="preserve">Apareció para dar lugar a un concierto de Mano Negra, famosa agrupación franco-española, que estaba buscando una locación en la ciudad para tocar en Bogotá.
Uno de los socios fundadores del bar decidió arrendar una bodega y adecuar el sitio para el concierto, lo que resultó en un éxito total. El concierto tuvo una particularidad, todo era gratis, desde la entrada hasta la cerveza. Después de este concierto funcionó un tiempo más, pero no alcanzó a durar más de seis meses.</t>
  </si>
  <si>
    <t xml:space="preserve">cumplió el propósito efímero para el cual fue creado y por la naturaleza transitoria de la escena subterránea de la época</t>
  </si>
  <si>
    <t xml:space="preserve">https://razonpublica.com/erase-una-vez-los-noventa-la-movida-rockera-alternativa-bogota/, https://razonpublica.com/erase-una-vez-los-noventa-la-movida-rockera-alternativa-bogota/</t>
  </si>
  <si>
    <t xml:space="preserve">Vértigo Campoelias</t>
  </si>
  <si>
    <t xml:space="preserve">cra 13A # 34-10</t>
  </si>
  <si>
    <t xml:space="preserve">Sagrado corazón</t>
  </si>
  <si>
    <t xml:space="preserve">Post punk, grunge, rock alternativo</t>
  </si>
  <si>
    <t xml:space="preserve">Fue un icónico y legendario bar de rock y música alternativa ubicada en una casa esquinera con muchos cuartos y luces negras y de neón. Fundado por Carlos Ramirez (El Mono), tras la masacre de Pozzetto (de ahí su particular nombre, en referencia al asesino Campo Elías Delgado), Vértigo nace inspirado en Barbarie, y contando con una colección de vinilos de 12.000 títulos. Fue clave para la escena musical local, sirviendo de escenario para bandas emergentes como La Derecha, Estados Alterados, La Pestilencia, Juanita Dientes Verdes y 1280 Almas. </t>
  </si>
  <si>
    <t xml:space="preserve">Cambios en la vida de su fundador</t>
  </si>
  <si>
    <t xml:space="preserve">https://bibliotecacinemateca.idartes.gov.co/cgi-bin/koha/opac-detail.pl?biblionumber=88811
https://www.instagram.com/p/ClCVIT2PMmZ/ </t>
  </si>
  <si>
    <t xml:space="preserve">cra 20 # 50-52</t>
  </si>
  <si>
    <t xml:space="preserve">Alfonso López</t>
  </si>
  <si>
    <t xml:space="preserve">ac 53 # 13-63</t>
  </si>
  <si>
    <t xml:space="preserve">Zona Franca</t>
  </si>
  <si>
    <t xml:space="preserve">Ubicación exacta desconocida. El punto es una aproximación.</t>
  </si>
  <si>
    <t xml:space="preserve">El Lago</t>
  </si>
  <si>
    <t xml:space="preserve">1995 (?)</t>
  </si>
  <si>
    <t xml:space="preserve">Bar en El Lago administrado por Edison Ramírez entre 1995 y 2002 (año en que abrió Theatron). A diferencia de otros bares que se escondían o tapaban sus letreros, Zona Franca se ofrecía abiertamente como rumba gay, un antecedente directo de lo que luego sería Theatron en el mismo lugar. De ahí nació la publicación Franquicia, creada específicamente para divulgar los eventos que pasaban allí y en otros espacios de la escena.</t>
  </si>
  <si>
    <t xml:space="preserve">Creación de Theatron</t>
  </si>
  <si>
    <t xml:space="preserve">https://cartelurbano.com/libreydiverso/la-clandestinidad-y-el-activismo-de-la-fiesta-gay-en-la-bogota-de-los-novent </t>
  </si>
</sst>
</file>

<file path=xl/styles.xml><?xml version="1.0" encoding="utf-8"?>
<styleSheet xmlns="http://schemas.openxmlformats.org/spreadsheetml/2006/main">
  <numFmts count="2">
    <numFmt numFmtId="164" formatCode="General"/>
    <numFmt numFmtId="165" formatCode="0.0000"/>
  </numFmts>
  <fonts count="25">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b val="true"/>
      <sz val="9"/>
      <color theme="1"/>
      <name val="Arial"/>
      <family val="0"/>
      <charset val="1"/>
    </font>
    <font>
      <sz val="11"/>
      <color theme="1"/>
      <name val="Roboto"/>
      <family val="0"/>
      <charset val="1"/>
    </font>
    <font>
      <sz val="9"/>
      <color theme="1"/>
      <name val="Arial"/>
      <family val="0"/>
      <charset val="1"/>
    </font>
    <font>
      <sz val="9"/>
      <color theme="1"/>
      <name val="Roboto"/>
      <family val="0"/>
      <charset val="1"/>
    </font>
    <font>
      <u val="single"/>
      <sz val="9"/>
      <color rgb="FF1155CC"/>
      <name val="Roboto"/>
      <family val="0"/>
      <charset val="1"/>
    </font>
    <font>
      <sz val="11"/>
      <color theme="1"/>
      <name val="Arial"/>
      <family val="0"/>
      <charset val="1"/>
    </font>
    <font>
      <u val="single"/>
      <sz val="11"/>
      <color theme="1"/>
      <name val="Arial"/>
      <family val="0"/>
      <charset val="1"/>
    </font>
    <font>
      <u val="single"/>
      <sz val="9"/>
      <color rgb="FF0000FF"/>
      <name val="Arial"/>
      <family val="0"/>
      <charset val="1"/>
    </font>
    <font>
      <sz val="9"/>
      <color rgb="FF4C4C4C"/>
      <name val="GothamRoundedBook"/>
      <family val="0"/>
      <charset val="1"/>
    </font>
    <font>
      <sz val="9"/>
      <color rgb="FF4C4C4C"/>
      <name val="Arial"/>
      <family val="0"/>
      <charset val="1"/>
    </font>
    <font>
      <u val="single"/>
      <sz val="11"/>
      <color rgb="FF1155CC"/>
      <name val="Arial"/>
      <family val="0"/>
      <charset val="1"/>
    </font>
    <font>
      <sz val="9"/>
      <color theme="1"/>
      <name val="Helvetica Neue"/>
      <family val="0"/>
      <charset val="1"/>
    </font>
    <font>
      <u val="single"/>
      <sz val="9"/>
      <color rgb="FF1155CC"/>
      <name val="Arial"/>
      <family val="0"/>
      <charset val="1"/>
    </font>
    <font>
      <sz val="9"/>
      <color rgb="FF1E1E1E"/>
      <name val="Arial"/>
      <family val="0"/>
      <charset val="1"/>
    </font>
    <font>
      <u val="single"/>
      <sz val="9"/>
      <color rgb="FF1155CC"/>
      <name val="Caveat"/>
      <family val="0"/>
      <charset val="1"/>
    </font>
    <font>
      <sz val="11"/>
      <color rgb="FF0D0D0D"/>
      <name val="Arial"/>
      <family val="0"/>
      <charset val="1"/>
    </font>
    <font>
      <sz val="11"/>
      <color rgb="FF1F1F1F"/>
      <name val="Arial"/>
      <family val="0"/>
      <charset val="1"/>
    </font>
    <font>
      <u val="single"/>
      <sz val="11"/>
      <color rgb="FF1F1F1F"/>
      <name val="Arial"/>
      <family val="0"/>
      <charset val="1"/>
    </font>
    <font>
      <u val="single"/>
      <sz val="9"/>
      <color rgb="FF777777"/>
      <name val="Arial"/>
      <family val="0"/>
      <charset val="1"/>
    </font>
    <font>
      <u val="single"/>
      <sz val="11"/>
      <color rgb="FF0000FF"/>
      <name val="Arial"/>
      <family val="0"/>
      <charset val="1"/>
    </font>
  </fonts>
  <fills count="7">
    <fill>
      <patternFill patternType="none"/>
    </fill>
    <fill>
      <patternFill patternType="gray125"/>
    </fill>
    <fill>
      <patternFill patternType="solid">
        <fgColor rgb="FFD9EAD3"/>
        <bgColor rgb="FFFFF2CC"/>
      </patternFill>
    </fill>
    <fill>
      <patternFill patternType="solid">
        <fgColor rgb="FFFFFFFF"/>
        <bgColor rgb="FFFFF2CC"/>
      </patternFill>
    </fill>
    <fill>
      <patternFill patternType="solid">
        <fgColor rgb="FFFFFF00"/>
        <bgColor rgb="FFFFFF00"/>
      </patternFill>
    </fill>
    <fill>
      <patternFill patternType="solid">
        <fgColor rgb="FFFFF2CC"/>
        <bgColor rgb="FFFFFFFF"/>
      </patternFill>
    </fill>
    <fill>
      <patternFill patternType="solid">
        <fgColor rgb="FF00FF00"/>
        <bgColor rgb="FF33CC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right" vertical="bottom" textRotation="0" wrapText="true" indent="0" shrinkToFit="false"/>
      <protection locked="true" hidden="false"/>
    </xf>
    <xf numFmtId="164" fontId="10" fillId="2" borderId="1"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tru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5" fontId="14" fillId="3"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right"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21" fillId="2" borderId="1" xfId="0" applyFont="true" applyBorder="tru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right"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right"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23" fillId="0" borderId="1" xfId="0" applyFont="true" applyBorder="true" applyAlignment="true" applyProtection="false">
      <alignment horizontal="general" vertical="bottom" textRotation="0" wrapText="tru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right"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true" indent="0" shrinkToFit="false"/>
      <protection locked="true" hidden="false"/>
    </xf>
    <xf numFmtId="164" fontId="16" fillId="6"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2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1E1E1E"/>
      <rgbColor rgb="FF993300"/>
      <rgbColor rgb="FF993366"/>
      <rgbColor rgb="FF4C4C4C"/>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istritoch.com/chapinero-musical-2/" TargetMode="External"/><Relationship Id="rId2" Type="http://schemas.openxmlformats.org/officeDocument/2006/relationships/hyperlink" Target="https://www.vice.com/es/article/cul-fue-el-primer-club-de-colombia/" TargetMode="External"/><Relationship Id="rId3" Type="http://schemas.openxmlformats.org/officeDocument/2006/relationships/hyperlink" Target="https://www.youtube.com/playlist?list=PLhakzgpKngU2cHC4wy_CXxcXNUprs4ZZO" TargetMode="External"/><Relationship Id="rId4" Type="http://schemas.openxmlformats.org/officeDocument/2006/relationships/hyperlink" Target="https://www.youtube.com/playlist?list=PLhakzgpKngU2cHC4wy_CXxcXNUprs4ZZO" TargetMode="External"/><Relationship Id="rId5" Type="http://schemas.openxmlformats.org/officeDocument/2006/relationships/hyperlink" Target="https://www.youtube.com/playlist?list=PLhakzgpKngU2cHC4wy_CXxcXNUprs4ZZO" TargetMode="External"/><Relationship Id="rId6" Type="http://schemas.openxmlformats.org/officeDocument/2006/relationships/hyperlink" Target="https://www.semana.com/contenidos-editoriales/especial-lgbti-2017/articulo/espacios-lgbti-en-bogota/65096/" TargetMode="External"/><Relationship Id="rId7" Type="http://schemas.openxmlformats.org/officeDocument/2006/relationships/hyperlink" Target="https://www.vice.com/es/article/barbie-y-barbarie-el-aporte-de-aterciopelados-a-la-vida-nocturna-capitalina-en-los-90/" TargetMode="External"/><Relationship Id="rId8" Type="http://schemas.openxmlformats.org/officeDocument/2006/relationships/hyperlink" Target="https://www.vice.com/es/article/barbie-y-barbarie-el-aporte-de-aterciopelados-a-la-vida-nocturna-capitalina-en-los-90/" TargetMode="External"/><Relationship Id="rId9" Type="http://schemas.openxmlformats.org/officeDocument/2006/relationships/hyperlink" Target="https://www.vice.com/es/article/barbie-y-barbarie-el-aporte-de-aterciopelados-a-la-vida-nocturna-capitalina-en-los-90/" TargetMode="External"/><Relationship Id="rId10" Type="http://schemas.openxmlformats.org/officeDocument/2006/relationships/hyperlink" Target="https://youtu.be/k3VKvEAk1RM?si=sw218cgE26C5RsGk" TargetMode="External"/><Relationship Id="rId11" Type="http://schemas.openxmlformats.org/officeDocument/2006/relationships/hyperlink" Target="https://cartelurbano.com/noticias/un-espacio-vital-para-el-arte-urbano-local-se-despide-casa-volketa-cierra-sus-puertas" TargetMode="External"/><Relationship Id="rId12" Type="http://schemas.openxmlformats.org/officeDocument/2006/relationships/hyperlink" Target="https://www.eltiempo.com/archivo/documento/mam-1678002" TargetMode="External"/><Relationship Id="rId13" Type="http://schemas.openxmlformats.org/officeDocument/2006/relationships/hyperlink" Target="https://distritoch.com/chapinero-musical-2/" TargetMode="External"/><Relationship Id="rId14" Type="http://schemas.openxmlformats.org/officeDocument/2006/relationships/hyperlink" Target="https://www.radionica.rocks/cultura/analisis/ecos-de-la-noche-lugares-que-han-forjado-la-cultura-bogotana" TargetMode="External"/><Relationship Id="rId15" Type="http://schemas.openxmlformats.org/officeDocument/2006/relationships/hyperlink" Target="https://www.instagram.com/colombia_metal_garage/" TargetMode="External"/><Relationship Id="rId16" Type="http://schemas.openxmlformats.org/officeDocument/2006/relationships/hyperlink" Target="https://cartelurbano.com/historias/cangrejiando-la-verdadera-historia-de-lo-que-paso-con-crabs" TargetMode="External"/><Relationship Id="rId17" Type="http://schemas.openxmlformats.org/officeDocument/2006/relationships/hyperlink" Target="https://www.radioacktiva.com/2024/estos-son-los-bares-de-rock-que-desaparecieron-en-bogota-recuerda-alguno-349211.html" TargetMode="External"/><Relationship Id="rId18" Type="http://schemas.openxmlformats.org/officeDocument/2006/relationships/hyperlink" Target="https://www.elespectador.com/el-magazin-cultural/un-desahucio-anonimo-reverberaciones/" TargetMode="External"/><Relationship Id="rId19" Type="http://schemas.openxmlformats.org/officeDocument/2006/relationships/hyperlink" Target="https://youtu.be/k3VKvEAk1RM?si=dYyiiVitcDwMeVnu" TargetMode="External"/><Relationship Id="rId20" Type="http://schemas.openxmlformats.org/officeDocument/2006/relationships/hyperlink" Target="https://www.vice.com/es/article/hip-hop-arte-paz-familia-ayara/" TargetMode="External"/><Relationship Id="rId21" Type="http://schemas.openxmlformats.org/officeDocument/2006/relationships/hyperlink" Target="https://www.vice.com/es/article/hip-hop-arte-paz-familia-ayara/" TargetMode="External"/><Relationship Id="rId22" Type="http://schemas.openxmlformats.org/officeDocument/2006/relationships/hyperlink" Target="https://uploads.knightlab.com/storymapjs/f5a82cd32b8b5d783dbd5eaecb55ac58/un-recorrido-por-la-fiesta-gay-a-finales-de-siglo-en-bogota/index.html" TargetMode="External"/><Relationship Id="rId23" Type="http://schemas.openxmlformats.org/officeDocument/2006/relationships/hyperlink" Target="https://www.facebook.com/kbespacioparalacultura/posts/arte-alternativo-y-bares-de-los-90s-en-bogot&#225;bogot&#225;-1987-1994-en-una-ciudad-con-/3455812274513640/" TargetMode="External"/><Relationship Id="rId24" Type="http://schemas.openxmlformats.org/officeDocument/2006/relationships/hyperlink" Target="https://www.eltiempo.com/archivo/documento/cms-3827472" TargetMode="External"/><Relationship Id="rId25" Type="http://schemas.openxmlformats.org/officeDocument/2006/relationships/hyperlink" Target="https://distritoch.com/chapinero-musical-2/" TargetMode="External"/><Relationship Id="rId26" Type="http://schemas.openxmlformats.org/officeDocument/2006/relationships/hyperlink" Target="https://razonpublica.com/erase-una-vez-los-noventa-la-movida-rockera-alternativa-bogota/" TargetMode="External"/><Relationship Id="rId27" Type="http://schemas.openxmlformats.org/officeDocument/2006/relationships/hyperlink" Target="https://www.eltiempo.com/don-juan/historias/discoteca-keops-el-templo-de-la-rumba-en-bogota-en-los-anos-ochenta+articulo+14341057" TargetMode="External"/><Relationship Id="rId28" Type="http://schemas.openxmlformats.org/officeDocument/2006/relationships/hyperlink" Target="https://distritoch.com/chapinero-musical-2/" TargetMode="External"/><Relationship Id="rId29" Type="http://schemas.openxmlformats.org/officeDocument/2006/relationships/hyperlink" Target="https://idartesencasa.gov.co/sites/default/files/libros_pdf/Bogota%20Cuentas%20las%20Artes%202019%20MLR-10-09-20.pdf" TargetMode="External"/><Relationship Id="rId30" Type="http://schemas.openxmlformats.org/officeDocument/2006/relationships/hyperlink" Target="https://distritoch.com/chapinero-musical-2/" TargetMode="External"/><Relationship Id="rId31" Type="http://schemas.openxmlformats.org/officeDocument/2006/relationships/hyperlink" Target="https://www.eltiempo.com/bogota/el-restaurante-la-normanda-de-bogota-cerro-sus-puertas-645510" TargetMode="External"/><Relationship Id="rId32" Type="http://schemas.openxmlformats.org/officeDocument/2006/relationships/hyperlink" Target="https://www.radionica.rocks/cultura/analisis/ecos-de-la-noche-lugares-que-han-forjado-la-cultura-bogotana" TargetMode="External"/><Relationship Id="rId33" Type="http://schemas.openxmlformats.org/officeDocument/2006/relationships/hyperlink" Target="https://www.eltiempo.com/archivo/documento/mam-1364535" TargetMode="External"/><Relationship Id="rId34" Type="http://schemas.openxmlformats.org/officeDocument/2006/relationships/hyperlink" Target="https://cartelurbano.com/musica/el-postpunk-en-colombia-toma-un-segundo-aire" TargetMode="External"/><Relationship Id="rId35" Type="http://schemas.openxmlformats.org/officeDocument/2006/relationships/hyperlink" Target="https://www.vice.com/es/article/tropikal-punk-records-recordando-la-escena-neo-bogotana/" TargetMode="External"/><Relationship Id="rId36" Type="http://schemas.openxmlformats.org/officeDocument/2006/relationships/hyperlink" Target="https://www.facebook.com/share/p/1DEnufi25x/" TargetMode="External"/><Relationship Id="rId37" Type="http://schemas.openxmlformats.org/officeDocument/2006/relationships/hyperlink" Target="https://www.las2orillas.co/nutabes-el-templo-de-la-rumba-bogotana-donde-la-fiesta-arrancaba-desde-el-medio-dia-hasta-la-madrugada/" TargetMode="External"/><Relationship Id="rId38" Type="http://schemas.openxmlformats.org/officeDocument/2006/relationships/hyperlink" Target="https://www.rockombia.com/noticias/ozzy-bar-cumple-19-anos.html" TargetMode="External"/><Relationship Id="rId39" Type="http://schemas.openxmlformats.org/officeDocument/2006/relationships/hyperlink" Target="https://www.eltiempo.com/archivo/documento/mam-5382191" TargetMode="External"/><Relationship Id="rId40" Type="http://schemas.openxmlformats.org/officeDocument/2006/relationships/hyperlink" Target="https://www.facebook.com/groups/1287875097929717/posts/7655248604525636/" TargetMode="External"/><Relationship Id="rId41" Type="http://schemas.openxmlformats.org/officeDocument/2006/relationships/hyperlink" Target="https://cartelurbano.com/libreydiverso/la-clandestinidad-y-el-activismo-de-la-fiesta-gay-en-la-bogota-de-los-noventa" TargetMode="External"/><Relationship Id="rId42" Type="http://schemas.openxmlformats.org/officeDocument/2006/relationships/hyperlink" Target="https://cartelurbano.com/libreydiverso/la-clandestinidad-y-el-activismo-de-la-fiesta-gay-en-la-bogota-de-los-noventa" TargetMode="External"/><Relationship Id="rId43" Type="http://schemas.openxmlformats.org/officeDocument/2006/relationships/hyperlink" Target="https://www.eltiempo.com/archivo/documento/mam-780668" TargetMode="External"/><Relationship Id="rId44" Type="http://schemas.openxmlformats.org/officeDocument/2006/relationships/hyperlink" Target="https://www.publimetro.co/bogota/2023/07/24/rumbeo-alli-legendaria-discoteca-cerrara-sus-puertas-en-bogota-y-lo-hara-de-esta-nostalgica-manera/" TargetMode="External"/><Relationship Id="rId45" Type="http://schemas.openxmlformats.org/officeDocument/2006/relationships/hyperlink" Target="https://www.eltiempo.com/archivo/documento/mam-1529482" TargetMode="External"/><Relationship Id="rId46" Type="http://schemas.openxmlformats.org/officeDocument/2006/relationships/hyperlink" Target="https://www.radioacktiva.com/2024/estos-son-los-bares-de-rock-que-desaparecieron-en-bogota-recuerda-alguno-349211.html" TargetMode="External"/><Relationship Id="rId47" Type="http://schemas.openxmlformats.org/officeDocument/2006/relationships/hyperlink" Target="https://www.eltiempo.com/amp/archivo/documento/CMS-3596198" TargetMode="External"/><Relationship Id="rId48" Type="http://schemas.openxmlformats.org/officeDocument/2006/relationships/hyperlink" Target="https://www.eltiempo.com/archivo/documento/CMS-7194787" TargetMode="External"/><Relationship Id="rId49" Type="http://schemas.openxmlformats.org/officeDocument/2006/relationships/hyperlink" Target="https://www.vice.com/es/article/jazz-al-parque/" TargetMode="External"/><Relationship Id="rId50" Type="http://schemas.openxmlformats.org/officeDocument/2006/relationships/hyperlink" Target="https://www.radionica.rocks/cultura/analisis/ecos-de-la-noche-lugares-que-han-forjado-la-cultura-bogotana" TargetMode="External"/><Relationship Id="rId51" Type="http://schemas.openxmlformats.org/officeDocument/2006/relationships/hyperlink" Target="https://www.instagram.com/p/CXSRi6elcdl/" TargetMode="External"/><Relationship Id="rId52" Type="http://schemas.openxmlformats.org/officeDocument/2006/relationships/hyperlink" Target="https://www.eltiempo.com/amp/archivo/documento/CMS-3596903" TargetMode="External"/><Relationship Id="rId53" Type="http://schemas.openxmlformats.org/officeDocument/2006/relationships/hyperlink" Target="https://bibliotecacinemateca.idartes.gov.co/cgi-bin/koha/opac-detail.pl?biblionumber=88811" TargetMode="External"/><Relationship Id="rId54" Type="http://schemas.openxmlformats.org/officeDocument/2006/relationships/hyperlink" Target="https://bibliotecacinemateca.idartes.gov.co/cgi-bin/koha/opac-detail.pl?biblionumber=88811" TargetMode="External"/><Relationship Id="rId55" Type="http://schemas.openxmlformats.org/officeDocument/2006/relationships/hyperlink" Target="https://bibliotecacinemateca.idartes.gov.co/cgi-bin/koha/opac-detail.pl?biblionumber=88811" TargetMode="External"/><Relationship Id="rId56" Type="http://schemas.openxmlformats.org/officeDocument/2006/relationships/hyperlink" Target="https://cartelurbano.com/libreydiverso/la-clandestinidad-y-el-activismo-de-la-fiesta-gay-en-la-bogota-de-los-nov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O67"/>
  <sheetViews>
    <sheetView showFormulas="false" showGridLines="true" showRowColHeaders="true" showZeros="true" rightToLeft="false" tabSelected="true" showOutlineSymbols="true" defaultGridColor="true" view="normal" topLeftCell="A196" colorId="64" zoomScale="49" zoomScaleNormal="49" zoomScalePageLayoutView="100" workbookViewId="0">
      <selection pane="topLeft" activeCell="G4" activeCellId="0" sqref="G4"/>
    </sheetView>
  </sheetViews>
  <sheetFormatPr defaultColWidth="12.6328125" defaultRowHeight="15.75" customHeight="true" zeroHeight="false" outlineLevelRow="0" outlineLevelCol="0"/>
  <cols>
    <col collapsed="false" customWidth="true" hidden="false" outlineLevel="0" max="11" min="11" style="0" width="24.72"/>
    <col collapsed="false" customWidth="true" hidden="false" outlineLevel="0" max="12" min="12" style="0" width="19.08"/>
    <col collapsed="false" customWidth="true" hidden="false" outlineLevel="0" max="13" min="13" style="0" width="17.02"/>
  </cols>
  <sheetData>
    <row r="1" customFormat="false" ht="21.65" hidden="false" customHeight="false" outlineLevel="0" collapsed="false">
      <c r="A1" s="1" t="s">
        <v>0</v>
      </c>
      <c r="B1" s="2" t="s">
        <v>1</v>
      </c>
      <c r="C1" s="1" t="s">
        <v>2</v>
      </c>
      <c r="D1" s="1" t="s">
        <v>3</v>
      </c>
      <c r="E1" s="1" t="s">
        <v>4</v>
      </c>
      <c r="F1" s="1" t="s">
        <v>5</v>
      </c>
      <c r="G1" s="2" t="s">
        <v>6</v>
      </c>
      <c r="H1" s="2" t="s">
        <v>7</v>
      </c>
      <c r="I1" s="2" t="s">
        <v>8</v>
      </c>
      <c r="J1" s="2" t="s">
        <v>9</v>
      </c>
      <c r="K1" s="2" t="s">
        <v>10</v>
      </c>
      <c r="L1" s="2" t="s">
        <v>11</v>
      </c>
      <c r="M1" s="3" t="s">
        <v>12</v>
      </c>
      <c r="N1" s="4" t="s">
        <v>13</v>
      </c>
      <c r="O1" s="4" t="s">
        <v>14</v>
      </c>
    </row>
    <row r="2" customFormat="false" ht="163.5" hidden="false" customHeight="false" outlineLevel="0" collapsed="false">
      <c r="A2" s="5" t="n">
        <v>1</v>
      </c>
      <c r="B2" s="6" t="s">
        <v>15</v>
      </c>
      <c r="C2" s="7" t="b">
        <f aca="false">FALSE()</f>
        <v>0</v>
      </c>
      <c r="D2" s="8" t="s">
        <v>16</v>
      </c>
      <c r="E2" s="9" t="s">
        <v>17</v>
      </c>
      <c r="F2" s="9" t="s">
        <v>18</v>
      </c>
      <c r="G2" s="10" t="s">
        <v>19</v>
      </c>
      <c r="H2" s="11" t="n">
        <v>1</v>
      </c>
      <c r="I2" s="8" t="n">
        <v>1985</v>
      </c>
      <c r="J2" s="12" t="s">
        <v>20</v>
      </c>
      <c r="K2" s="13" t="s">
        <v>21</v>
      </c>
      <c r="L2" s="14" t="s">
        <v>22</v>
      </c>
      <c r="M2" s="15" t="s">
        <v>23</v>
      </c>
      <c r="N2" s="16" t="n">
        <v>-74.0637283102135</v>
      </c>
      <c r="O2" s="16" t="n">
        <v>4.65292688217663</v>
      </c>
    </row>
    <row r="3" customFormat="false" ht="120.45" hidden="false" customHeight="false" outlineLevel="0" collapsed="false">
      <c r="A3" s="5" t="n">
        <v>2</v>
      </c>
      <c r="B3" s="6" t="s">
        <v>24</v>
      </c>
      <c r="C3" s="7" t="b">
        <f aca="false">FALSE()</f>
        <v>0</v>
      </c>
      <c r="D3" s="8" t="s">
        <v>25</v>
      </c>
      <c r="E3" s="9" t="s">
        <v>26</v>
      </c>
      <c r="F3" s="17" t="s">
        <v>18</v>
      </c>
      <c r="G3" s="10" t="s">
        <v>27</v>
      </c>
      <c r="H3" s="11" t="n">
        <v>4</v>
      </c>
      <c r="I3" s="8" t="s">
        <v>28</v>
      </c>
      <c r="J3" s="12" t="s">
        <v>29</v>
      </c>
      <c r="K3" s="13" t="s">
        <v>30</v>
      </c>
      <c r="L3" s="12" t="s">
        <v>29</v>
      </c>
      <c r="M3" s="15" t="s">
        <v>31</v>
      </c>
      <c r="N3" s="18" t="n">
        <v>-74.0493791528457</v>
      </c>
      <c r="O3" s="16" t="n">
        <v>4.68149550225119</v>
      </c>
    </row>
    <row r="4" customFormat="false" ht="245.85" hidden="false" customHeight="false" outlineLevel="0" collapsed="false">
      <c r="A4" s="19" t="n">
        <v>3</v>
      </c>
      <c r="B4" s="20" t="s">
        <v>32</v>
      </c>
      <c r="C4" s="7" t="b">
        <f aca="false">FALSE()</f>
        <v>0</v>
      </c>
      <c r="D4" s="21" t="s">
        <v>33</v>
      </c>
      <c r="E4" s="22" t="s">
        <v>34</v>
      </c>
      <c r="F4" s="22" t="s">
        <v>35</v>
      </c>
      <c r="G4" s="23" t="s">
        <v>36</v>
      </c>
      <c r="H4" s="24" t="n">
        <v>1</v>
      </c>
      <c r="I4" s="21" t="n">
        <v>1981</v>
      </c>
      <c r="J4" s="21" t="n">
        <v>2005</v>
      </c>
      <c r="K4" s="25" t="s">
        <v>37</v>
      </c>
      <c r="L4" s="26" t="s">
        <v>38</v>
      </c>
      <c r="M4" s="27" t="s">
        <v>39</v>
      </c>
      <c r="N4" s="28" t="n">
        <v>-74.0705097338053</v>
      </c>
      <c r="O4" s="19" t="n">
        <v>4.60080505847399</v>
      </c>
    </row>
    <row r="5" customFormat="false" ht="245.85" hidden="false" customHeight="false" outlineLevel="0" collapsed="false">
      <c r="A5" s="19" t="n">
        <v>4</v>
      </c>
      <c r="B5" s="20" t="s">
        <v>32</v>
      </c>
      <c r="C5" s="7" t="b">
        <f aca="false">FALSE()</f>
        <v>0</v>
      </c>
      <c r="D5" s="21" t="s">
        <v>40</v>
      </c>
      <c r="E5" s="22"/>
      <c r="F5" s="22" t="s">
        <v>18</v>
      </c>
      <c r="G5" s="20" t="s">
        <v>36</v>
      </c>
      <c r="H5" s="24" t="n">
        <v>1</v>
      </c>
      <c r="I5" s="21" t="n">
        <v>1981</v>
      </c>
      <c r="J5" s="21" t="n">
        <v>2005</v>
      </c>
      <c r="K5" s="25" t="s">
        <v>37</v>
      </c>
      <c r="L5" s="26" t="s">
        <v>38</v>
      </c>
      <c r="M5" s="27" t="s">
        <v>39</v>
      </c>
      <c r="N5" s="28" t="n">
        <v>-74.0614860420655</v>
      </c>
      <c r="O5" s="19" t="n">
        <v>4.64417307541815</v>
      </c>
    </row>
    <row r="6" customFormat="false" ht="258.15" hidden="false" customHeight="false" outlineLevel="0" collapsed="false">
      <c r="A6" s="5" t="n">
        <v>5</v>
      </c>
      <c r="B6" s="20" t="s">
        <v>32</v>
      </c>
      <c r="C6" s="7" t="b">
        <f aca="false">FALSE()</f>
        <v>0</v>
      </c>
      <c r="D6" s="21" t="s">
        <v>41</v>
      </c>
      <c r="E6" s="22"/>
      <c r="F6" s="22" t="s">
        <v>18</v>
      </c>
      <c r="G6" s="20" t="s">
        <v>36</v>
      </c>
      <c r="H6" s="24" t="n">
        <v>1</v>
      </c>
      <c r="I6" s="21" t="n">
        <v>1981</v>
      </c>
      <c r="J6" s="21" t="n">
        <v>2005</v>
      </c>
      <c r="K6" s="25" t="s">
        <v>42</v>
      </c>
      <c r="L6" s="26" t="s">
        <v>38</v>
      </c>
      <c r="M6" s="27" t="s">
        <v>39</v>
      </c>
      <c r="N6" s="28" t="n">
        <v>-74.0626867968633</v>
      </c>
      <c r="O6" s="19" t="n">
        <v>4.64612431510198</v>
      </c>
    </row>
    <row r="7" customFormat="false" ht="163.5" hidden="false" customHeight="false" outlineLevel="0" collapsed="false">
      <c r="A7" s="5" t="n">
        <v>6</v>
      </c>
      <c r="B7" s="6" t="s">
        <v>43</v>
      </c>
      <c r="C7" s="7" t="b">
        <f aca="false">FALSE()</f>
        <v>0</v>
      </c>
      <c r="D7" s="8" t="s">
        <v>44</v>
      </c>
      <c r="E7" s="9" t="s">
        <v>45</v>
      </c>
      <c r="F7" s="9" t="s">
        <v>46</v>
      </c>
      <c r="G7" s="6" t="s">
        <v>47</v>
      </c>
      <c r="H7" s="29" t="n">
        <v>3</v>
      </c>
      <c r="I7" s="12" t="s">
        <v>48</v>
      </c>
      <c r="J7" s="12" t="s">
        <v>49</v>
      </c>
      <c r="K7" s="13" t="s">
        <v>50</v>
      </c>
      <c r="L7" s="20" t="s">
        <v>51</v>
      </c>
      <c r="M7" s="27" t="s">
        <v>52</v>
      </c>
      <c r="N7" s="30" t="n">
        <v>-74.068705292</v>
      </c>
      <c r="O7" s="31" t="n">
        <v>4.60811104499999</v>
      </c>
    </row>
    <row r="8" customFormat="false" ht="94.65" hidden="false" customHeight="false" outlineLevel="0" collapsed="false">
      <c r="A8" s="19" t="n">
        <v>7</v>
      </c>
      <c r="B8" s="14" t="s">
        <v>53</v>
      </c>
      <c r="C8" s="7" t="b">
        <f aca="false">FALSE()</f>
        <v>0</v>
      </c>
      <c r="D8" s="32" t="s">
        <v>54</v>
      </c>
      <c r="E8" s="9" t="s">
        <v>55</v>
      </c>
      <c r="F8" s="9" t="s">
        <v>18</v>
      </c>
      <c r="G8" s="14" t="s">
        <v>56</v>
      </c>
      <c r="H8" s="33" t="n">
        <v>1</v>
      </c>
      <c r="I8" s="34" t="n">
        <v>1992</v>
      </c>
      <c r="J8" s="34" t="n">
        <v>1994</v>
      </c>
      <c r="K8" s="13" t="s">
        <v>57</v>
      </c>
      <c r="L8" s="14" t="s">
        <v>58</v>
      </c>
      <c r="M8" s="35" t="s">
        <v>59</v>
      </c>
      <c r="N8" s="36" t="n">
        <v>-74.053846891</v>
      </c>
      <c r="O8" s="37" t="n">
        <v>4.67062692399998</v>
      </c>
    </row>
    <row r="9" customFormat="false" ht="240.95" hidden="false" customHeight="false" outlineLevel="0" collapsed="false">
      <c r="A9" s="19" t="n">
        <v>8</v>
      </c>
      <c r="B9" s="14" t="s">
        <v>60</v>
      </c>
      <c r="C9" s="38" t="b">
        <f aca="false">TRUE()</f>
        <v>1</v>
      </c>
      <c r="D9" s="39" t="s">
        <v>61</v>
      </c>
      <c r="E9" s="9" t="s">
        <v>62</v>
      </c>
      <c r="F9" s="9" t="s">
        <v>62</v>
      </c>
      <c r="G9" s="14" t="s">
        <v>63</v>
      </c>
      <c r="H9" s="33" t="n">
        <v>1</v>
      </c>
      <c r="I9" s="34" t="n">
        <v>1989</v>
      </c>
      <c r="J9" s="34" t="n">
        <v>1990</v>
      </c>
      <c r="K9" s="13" t="s">
        <v>64</v>
      </c>
      <c r="L9" s="14" t="s">
        <v>65</v>
      </c>
      <c r="M9" s="40" t="s">
        <v>66</v>
      </c>
      <c r="N9" s="37" t="n">
        <v>-74.073173349</v>
      </c>
      <c r="O9" s="37" t="n">
        <v>4.59562251199998</v>
      </c>
    </row>
    <row r="10" customFormat="false" ht="137.65" hidden="false" customHeight="false" outlineLevel="0" collapsed="false">
      <c r="A10" s="5" t="n">
        <v>9</v>
      </c>
      <c r="B10" s="14" t="s">
        <v>67</v>
      </c>
      <c r="C10" s="7" t="b">
        <f aca="false">FALSE()</f>
        <v>0</v>
      </c>
      <c r="D10" s="32" t="s">
        <v>68</v>
      </c>
      <c r="E10" s="9" t="s">
        <v>69</v>
      </c>
      <c r="F10" s="9" t="s">
        <v>70</v>
      </c>
      <c r="G10" s="14" t="s">
        <v>63</v>
      </c>
      <c r="H10" s="33" t="n">
        <v>1</v>
      </c>
      <c r="I10" s="34" t="n">
        <v>1991</v>
      </c>
      <c r="J10" s="34" t="n">
        <v>1992</v>
      </c>
      <c r="K10" s="13" t="s">
        <v>71</v>
      </c>
      <c r="L10" s="14" t="s">
        <v>72</v>
      </c>
      <c r="M10" s="40" t="s">
        <v>73</v>
      </c>
      <c r="N10" s="16" t="n">
        <v>-74.0268729255543</v>
      </c>
      <c r="O10" s="16" t="n">
        <v>4.72091113120555</v>
      </c>
    </row>
    <row r="11" customFormat="false" ht="21.65" hidden="false" customHeight="false" outlineLevel="0" collapsed="false">
      <c r="A11" s="5" t="n">
        <v>10</v>
      </c>
      <c r="B11" s="14" t="s">
        <v>74</v>
      </c>
      <c r="C11" s="7" t="b">
        <f aca="false">FALSE()</f>
        <v>0</v>
      </c>
      <c r="D11" s="22"/>
      <c r="E11" s="22"/>
      <c r="F11" s="22"/>
      <c r="G11" s="41" t="s">
        <v>75</v>
      </c>
      <c r="H11" s="42" t="n">
        <v>2</v>
      </c>
      <c r="I11" s="34" t="n">
        <v>1993</v>
      </c>
      <c r="J11" s="34" t="s">
        <v>29</v>
      </c>
      <c r="K11" s="22"/>
      <c r="L11" s="22"/>
      <c r="M11" s="22"/>
      <c r="N11" s="43"/>
      <c r="O11" s="22"/>
    </row>
    <row r="12" customFormat="false" ht="94.65" hidden="false" customHeight="false" outlineLevel="0" collapsed="false">
      <c r="A12" s="19" t="n">
        <v>11</v>
      </c>
      <c r="B12" s="14" t="s">
        <v>76</v>
      </c>
      <c r="C12" s="7" t="b">
        <f aca="false">FALSE()</f>
        <v>0</v>
      </c>
      <c r="D12" s="32" t="s">
        <v>77</v>
      </c>
      <c r="E12" s="9" t="s">
        <v>78</v>
      </c>
      <c r="F12" s="9" t="s">
        <v>18</v>
      </c>
      <c r="G12" s="14" t="s">
        <v>79</v>
      </c>
      <c r="H12" s="33" t="n">
        <v>1</v>
      </c>
      <c r="I12" s="34" t="n">
        <v>1993</v>
      </c>
      <c r="J12" s="34" t="s">
        <v>80</v>
      </c>
      <c r="K12" s="13" t="s">
        <v>81</v>
      </c>
      <c r="L12" s="14" t="s">
        <v>82</v>
      </c>
      <c r="M12" s="27" t="s">
        <v>83</v>
      </c>
      <c r="N12" s="37" t="n">
        <v>-74.061486353</v>
      </c>
      <c r="O12" s="36" t="n">
        <v>4.64876713199999</v>
      </c>
    </row>
    <row r="13" customFormat="false" ht="103.25" hidden="false" customHeight="false" outlineLevel="0" collapsed="false">
      <c r="A13" s="19" t="n">
        <v>12</v>
      </c>
      <c r="B13" s="14" t="s">
        <v>84</v>
      </c>
      <c r="C13" s="7" t="b">
        <f aca="false">FALSE()</f>
        <v>0</v>
      </c>
      <c r="D13" s="32" t="s">
        <v>85</v>
      </c>
      <c r="E13" s="9" t="s">
        <v>86</v>
      </c>
      <c r="F13" s="9" t="s">
        <v>18</v>
      </c>
      <c r="G13" s="9" t="s">
        <v>87</v>
      </c>
      <c r="H13" s="5" t="n">
        <v>3</v>
      </c>
      <c r="I13" s="32" t="n">
        <v>2009</v>
      </c>
      <c r="J13" s="34" t="n">
        <v>2018</v>
      </c>
      <c r="K13" s="13" t="s">
        <v>88</v>
      </c>
      <c r="L13" s="14" t="s">
        <v>89</v>
      </c>
      <c r="M13" s="40" t="s">
        <v>90</v>
      </c>
      <c r="N13" s="36" t="n">
        <v>-74.064965828</v>
      </c>
      <c r="O13" s="36" t="n">
        <v>4.63516660800002</v>
      </c>
    </row>
    <row r="14" customFormat="false" ht="129.05" hidden="false" customHeight="false" outlineLevel="0" collapsed="false">
      <c r="A14" s="5" t="n">
        <v>13</v>
      </c>
      <c r="B14" s="14" t="s">
        <v>91</v>
      </c>
      <c r="C14" s="7" t="b">
        <f aca="false">FALSE()</f>
        <v>0</v>
      </c>
      <c r="D14" s="32" t="s">
        <v>92</v>
      </c>
      <c r="E14" s="9" t="s">
        <v>93</v>
      </c>
      <c r="F14" s="9" t="s">
        <v>94</v>
      </c>
      <c r="G14" s="14" t="s">
        <v>95</v>
      </c>
      <c r="H14" s="33" t="n">
        <v>4</v>
      </c>
      <c r="I14" s="34" t="n">
        <v>2004</v>
      </c>
      <c r="J14" s="34" t="n">
        <v>2009</v>
      </c>
      <c r="K14" s="13" t="s">
        <v>96</v>
      </c>
      <c r="L14" s="14" t="s">
        <v>97</v>
      </c>
      <c r="M14" s="40" t="s">
        <v>98</v>
      </c>
      <c r="N14" s="37" t="n">
        <v>-74.067971453</v>
      </c>
      <c r="O14" s="37" t="n">
        <v>4.61889181999999</v>
      </c>
    </row>
    <row r="15" customFormat="false" ht="103.25" hidden="false" customHeight="false" outlineLevel="0" collapsed="false">
      <c r="A15" s="5" t="n">
        <v>14</v>
      </c>
      <c r="B15" s="14" t="s">
        <v>99</v>
      </c>
      <c r="C15" s="7" t="b">
        <f aca="false">FALSE()</f>
        <v>0</v>
      </c>
      <c r="D15" s="32" t="s">
        <v>100</v>
      </c>
      <c r="E15" s="9" t="s">
        <v>101</v>
      </c>
      <c r="F15" s="9" t="s">
        <v>18</v>
      </c>
      <c r="G15" s="14" t="s">
        <v>102</v>
      </c>
      <c r="H15" s="33" t="n">
        <v>1</v>
      </c>
      <c r="I15" s="34" t="s">
        <v>103</v>
      </c>
      <c r="J15" s="34" t="s">
        <v>29</v>
      </c>
      <c r="K15" s="44" t="s">
        <v>104</v>
      </c>
      <c r="L15" s="34" t="s">
        <v>29</v>
      </c>
      <c r="M15" s="27" t="s">
        <v>105</v>
      </c>
      <c r="N15" s="37" t="n">
        <v>-74.062004319</v>
      </c>
      <c r="O15" s="37" t="n">
        <v>4.64333604299998</v>
      </c>
    </row>
    <row r="16" customFormat="false" ht="108.15" hidden="false" customHeight="false" outlineLevel="0" collapsed="false">
      <c r="A16" s="19" t="n">
        <v>15</v>
      </c>
      <c r="B16" s="14" t="s">
        <v>106</v>
      </c>
      <c r="C16" s="7" t="b">
        <f aca="false">FALSE()</f>
        <v>0</v>
      </c>
      <c r="D16" s="32" t="s">
        <v>107</v>
      </c>
      <c r="E16" s="9" t="s">
        <v>108</v>
      </c>
      <c r="F16" s="9" t="s">
        <v>94</v>
      </c>
      <c r="G16" s="9" t="s">
        <v>109</v>
      </c>
      <c r="H16" s="5" t="n">
        <v>2</v>
      </c>
      <c r="I16" s="34" t="n">
        <v>1992</v>
      </c>
      <c r="J16" s="34" t="s">
        <v>29</v>
      </c>
      <c r="K16" s="45" t="s">
        <v>110</v>
      </c>
      <c r="L16" s="34" t="s">
        <v>29</v>
      </c>
      <c r="M16" s="46"/>
      <c r="N16" s="47" t="n">
        <v>-74.0669063914763</v>
      </c>
      <c r="O16" s="5" t="n">
        <v>4.61279084752783</v>
      </c>
    </row>
    <row r="17" customFormat="false" ht="157.35" hidden="false" customHeight="false" outlineLevel="0" collapsed="false">
      <c r="A17" s="19" t="n">
        <v>16</v>
      </c>
      <c r="B17" s="48" t="s">
        <v>111</v>
      </c>
      <c r="C17" s="7" t="b">
        <f aca="false">FALSE()</f>
        <v>0</v>
      </c>
      <c r="D17" s="32" t="s">
        <v>112</v>
      </c>
      <c r="E17" s="9" t="s">
        <v>113</v>
      </c>
      <c r="F17" s="9" t="s">
        <v>18</v>
      </c>
      <c r="G17" s="9" t="s">
        <v>27</v>
      </c>
      <c r="H17" s="5" t="n">
        <v>4</v>
      </c>
      <c r="I17" s="34" t="n">
        <v>1990</v>
      </c>
      <c r="J17" s="34" t="n">
        <v>2010</v>
      </c>
      <c r="K17" s="49" t="s">
        <v>114</v>
      </c>
      <c r="L17" s="14" t="s">
        <v>115</v>
      </c>
      <c r="M17" s="50" t="s">
        <v>116</v>
      </c>
      <c r="N17" s="51" t="n">
        <v>-74.06</v>
      </c>
      <c r="O17" s="51" t="n">
        <v>4.6664</v>
      </c>
    </row>
    <row r="18" customFormat="false" ht="52.4" hidden="false" customHeight="false" outlineLevel="0" collapsed="false">
      <c r="A18" s="5" t="n">
        <v>17</v>
      </c>
      <c r="B18" s="48" t="s">
        <v>117</v>
      </c>
      <c r="C18" s="7" t="b">
        <f aca="false">FALSE()</f>
        <v>0</v>
      </c>
      <c r="D18" s="32" t="s">
        <v>118</v>
      </c>
      <c r="E18" s="9" t="s">
        <v>113</v>
      </c>
      <c r="F18" s="9" t="s">
        <v>18</v>
      </c>
      <c r="G18" s="14" t="s">
        <v>119</v>
      </c>
      <c r="H18" s="33" t="n">
        <v>1</v>
      </c>
      <c r="I18" s="34" t="n">
        <v>2015</v>
      </c>
      <c r="J18" s="34" t="n">
        <v>2018</v>
      </c>
      <c r="K18" s="14" t="s">
        <v>120</v>
      </c>
      <c r="L18" s="14" t="s">
        <v>121</v>
      </c>
      <c r="M18" s="27" t="s">
        <v>122</v>
      </c>
      <c r="N18" s="22"/>
      <c r="O18" s="17"/>
    </row>
    <row r="19" customFormat="false" ht="111.85" hidden="false" customHeight="false" outlineLevel="0" collapsed="false">
      <c r="A19" s="5" t="n">
        <v>18</v>
      </c>
      <c r="B19" s="14" t="s">
        <v>123</v>
      </c>
      <c r="C19" s="7" t="b">
        <f aca="false">FALSE()</f>
        <v>0</v>
      </c>
      <c r="D19" s="32" t="s">
        <v>124</v>
      </c>
      <c r="E19" s="9" t="s">
        <v>113</v>
      </c>
      <c r="F19" s="9" t="s">
        <v>18</v>
      </c>
      <c r="G19" s="14" t="s">
        <v>125</v>
      </c>
      <c r="H19" s="33" t="n">
        <v>1</v>
      </c>
      <c r="I19" s="34" t="n">
        <v>1999</v>
      </c>
      <c r="J19" s="34" t="n">
        <v>2011</v>
      </c>
      <c r="K19" s="52" t="s">
        <v>126</v>
      </c>
      <c r="L19" s="14" t="s">
        <v>127</v>
      </c>
      <c r="M19" s="40" t="s">
        <v>128</v>
      </c>
      <c r="N19" s="37" t="n">
        <v>-74.059679482</v>
      </c>
      <c r="O19" s="36" t="n">
        <v>4.65959169000001</v>
      </c>
    </row>
    <row r="20" customFormat="false" ht="68.8" hidden="false" customHeight="false" outlineLevel="0" collapsed="false">
      <c r="A20" s="19" t="n">
        <v>19</v>
      </c>
      <c r="B20" s="48" t="s">
        <v>129</v>
      </c>
      <c r="C20" s="7" t="b">
        <f aca="false">FALSE()</f>
        <v>0</v>
      </c>
      <c r="D20" s="22"/>
      <c r="E20" s="22"/>
      <c r="F20" s="22"/>
      <c r="G20" s="14" t="s">
        <v>130</v>
      </c>
      <c r="H20" s="33" t="n">
        <v>1</v>
      </c>
      <c r="I20" s="34" t="s">
        <v>29</v>
      </c>
      <c r="J20" s="34" t="s">
        <v>29</v>
      </c>
      <c r="K20" s="13" t="s">
        <v>131</v>
      </c>
      <c r="L20" s="34" t="s">
        <v>29</v>
      </c>
      <c r="M20" s="27" t="s">
        <v>132</v>
      </c>
      <c r="N20" s="43"/>
      <c r="O20" s="43"/>
    </row>
    <row r="21" customFormat="false" ht="129.05" hidden="false" customHeight="false" outlineLevel="0" collapsed="false">
      <c r="A21" s="19" t="n">
        <v>20</v>
      </c>
      <c r="B21" s="14" t="s">
        <v>133</v>
      </c>
      <c r="C21" s="7" t="b">
        <f aca="false">FALSE()</f>
        <v>0</v>
      </c>
      <c r="D21" s="32" t="s">
        <v>134</v>
      </c>
      <c r="E21" s="9" t="s">
        <v>135</v>
      </c>
      <c r="F21" s="9" t="s">
        <v>136</v>
      </c>
      <c r="G21" s="14" t="s">
        <v>137</v>
      </c>
      <c r="H21" s="33" t="n">
        <v>1</v>
      </c>
      <c r="I21" s="34" t="n">
        <v>2004</v>
      </c>
      <c r="J21" s="34" t="n">
        <v>2023</v>
      </c>
      <c r="K21" s="13" t="s">
        <v>138</v>
      </c>
      <c r="L21" s="14" t="s">
        <v>139</v>
      </c>
      <c r="M21" s="40" t="s">
        <v>140</v>
      </c>
      <c r="N21" s="37" t="n">
        <v>-74.067015155</v>
      </c>
      <c r="O21" s="37" t="n">
        <v>4.693422725</v>
      </c>
    </row>
    <row r="22" customFormat="false" ht="184.4" hidden="false" customHeight="false" outlineLevel="0" collapsed="false">
      <c r="A22" s="5" t="n">
        <v>21</v>
      </c>
      <c r="B22" s="20" t="s">
        <v>141</v>
      </c>
      <c r="C22" s="7" t="b">
        <f aca="false">FALSE()</f>
        <v>0</v>
      </c>
      <c r="D22" s="53" t="s">
        <v>142</v>
      </c>
      <c r="E22" s="22" t="s">
        <v>78</v>
      </c>
      <c r="F22" s="22" t="s">
        <v>18</v>
      </c>
      <c r="G22" s="20" t="s">
        <v>143</v>
      </c>
      <c r="H22" s="24" t="n">
        <v>5</v>
      </c>
      <c r="I22" s="21" t="n">
        <v>2018</v>
      </c>
      <c r="J22" s="21" t="n">
        <v>2020</v>
      </c>
      <c r="K22" s="54" t="s">
        <v>144</v>
      </c>
      <c r="L22" s="20" t="s">
        <v>145</v>
      </c>
      <c r="M22" s="46"/>
      <c r="N22" s="37" t="n">
        <v>-74.063942356</v>
      </c>
      <c r="O22" s="37" t="n">
        <v>4.643638904</v>
      </c>
    </row>
    <row r="23" customFormat="false" ht="129.05" hidden="false" customHeight="false" outlineLevel="0" collapsed="false">
      <c r="A23" s="5" t="n">
        <v>22</v>
      </c>
      <c r="B23" s="14" t="s">
        <v>146</v>
      </c>
      <c r="C23" s="7" t="b">
        <f aca="false">TRUE()</f>
        <v>1</v>
      </c>
      <c r="D23" s="32" t="s">
        <v>147</v>
      </c>
      <c r="E23" s="9" t="s">
        <v>148</v>
      </c>
      <c r="F23" s="9" t="s">
        <v>94</v>
      </c>
      <c r="G23" s="14" t="s">
        <v>149</v>
      </c>
      <c r="H23" s="33" t="n">
        <v>2</v>
      </c>
      <c r="I23" s="34" t="n">
        <v>1978</v>
      </c>
      <c r="J23" s="34" t="n">
        <v>2018</v>
      </c>
      <c r="K23" s="13" t="s">
        <v>150</v>
      </c>
      <c r="L23" s="14" t="s">
        <v>151</v>
      </c>
      <c r="M23" s="14" t="s">
        <v>152</v>
      </c>
      <c r="N23" s="16" t="n">
        <v>-74.0734082748297</v>
      </c>
      <c r="O23" s="16" t="n">
        <v>4.61525138458749</v>
      </c>
    </row>
    <row r="24" customFormat="false" ht="120.45" hidden="false" customHeight="false" outlineLevel="0" collapsed="false">
      <c r="A24" s="19" t="n">
        <v>23</v>
      </c>
      <c r="B24" s="6" t="s">
        <v>153</v>
      </c>
      <c r="C24" s="7" t="b">
        <f aca="false">FALSE()</f>
        <v>0</v>
      </c>
      <c r="D24" s="8" t="s">
        <v>154</v>
      </c>
      <c r="E24" s="9" t="s">
        <v>35</v>
      </c>
      <c r="F24" s="9" t="s">
        <v>62</v>
      </c>
      <c r="G24" s="10" t="s">
        <v>155</v>
      </c>
      <c r="H24" s="11" t="n">
        <v>1</v>
      </c>
      <c r="I24" s="8" t="n">
        <v>1988</v>
      </c>
      <c r="J24" s="12" t="n">
        <v>1990</v>
      </c>
      <c r="K24" s="13" t="s">
        <v>156</v>
      </c>
      <c r="L24" s="14" t="s">
        <v>157</v>
      </c>
      <c r="M24" s="40" t="s">
        <v>158</v>
      </c>
      <c r="N24" s="5" t="n">
        <v>-74.072593237465</v>
      </c>
      <c r="O24" s="5" t="n">
        <v>4.59546808079178</v>
      </c>
    </row>
    <row r="25" customFormat="false" ht="137.65" hidden="false" customHeight="false" outlineLevel="0" collapsed="false">
      <c r="A25" s="19" t="n">
        <v>24</v>
      </c>
      <c r="B25" s="14" t="s">
        <v>159</v>
      </c>
      <c r="C25" s="7" t="b">
        <f aca="false">FALSE()</f>
        <v>0</v>
      </c>
      <c r="D25" s="32" t="s">
        <v>160</v>
      </c>
      <c r="E25" s="14" t="s">
        <v>161</v>
      </c>
      <c r="F25" s="14" t="s">
        <v>162</v>
      </c>
      <c r="G25" s="9" t="s">
        <v>163</v>
      </c>
      <c r="H25" s="5" t="n">
        <v>3</v>
      </c>
      <c r="I25" s="34" t="n">
        <v>1996</v>
      </c>
      <c r="J25" s="34" t="n">
        <v>2020</v>
      </c>
      <c r="K25" s="13" t="s">
        <v>164</v>
      </c>
      <c r="L25" s="14" t="s">
        <v>145</v>
      </c>
      <c r="M25" s="40" t="s">
        <v>165</v>
      </c>
      <c r="N25" s="5" t="n">
        <v>-74.0682946242847</v>
      </c>
      <c r="O25" s="5" t="n">
        <v>4.62741342172782</v>
      </c>
    </row>
    <row r="26" customFormat="false" ht="129.05" hidden="false" customHeight="false" outlineLevel="0" collapsed="false">
      <c r="A26" s="5" t="n">
        <v>25</v>
      </c>
      <c r="B26" s="14" t="s">
        <v>159</v>
      </c>
      <c r="C26" s="7" t="b">
        <f aca="false">FALSE()</f>
        <v>0</v>
      </c>
      <c r="D26" s="32" t="s">
        <v>166</v>
      </c>
      <c r="E26" s="14" t="s">
        <v>167</v>
      </c>
      <c r="F26" s="14" t="s">
        <v>18</v>
      </c>
      <c r="G26" s="9" t="s">
        <v>163</v>
      </c>
      <c r="H26" s="5" t="n">
        <v>3</v>
      </c>
      <c r="I26" s="34" t="n">
        <v>1996</v>
      </c>
      <c r="J26" s="34" t="n">
        <v>2020</v>
      </c>
      <c r="K26" s="13" t="s">
        <v>168</v>
      </c>
      <c r="L26" s="14" t="s">
        <v>145</v>
      </c>
      <c r="M26" s="40" t="s">
        <v>165</v>
      </c>
      <c r="N26" s="5" t="n">
        <v>-74.0633263607914</v>
      </c>
      <c r="O26" s="5" t="n">
        <v>4.63693240701435</v>
      </c>
    </row>
    <row r="27" customFormat="false" ht="258.15" hidden="false" customHeight="false" outlineLevel="0" collapsed="false">
      <c r="A27" s="5" t="n">
        <v>26</v>
      </c>
      <c r="B27" s="20" t="s">
        <v>169</v>
      </c>
      <c r="C27" s="7" t="b">
        <f aca="false">FALSE()</f>
        <v>0</v>
      </c>
      <c r="D27" s="53" t="s">
        <v>170</v>
      </c>
      <c r="E27" s="22" t="s">
        <v>171</v>
      </c>
      <c r="F27" s="22" t="s">
        <v>172</v>
      </c>
      <c r="G27" s="20" t="s">
        <v>173</v>
      </c>
      <c r="H27" s="24" t="n">
        <v>4</v>
      </c>
      <c r="I27" s="21" t="s">
        <v>174</v>
      </c>
      <c r="J27" s="34" t="s">
        <v>29</v>
      </c>
      <c r="K27" s="55" t="s">
        <v>175</v>
      </c>
      <c r="L27" s="20" t="s">
        <v>176</v>
      </c>
      <c r="M27" s="27" t="s">
        <v>177</v>
      </c>
      <c r="N27" s="19" t="n">
        <v>-74.1095664472985</v>
      </c>
      <c r="O27" s="28" t="n">
        <v>4.59641603670294</v>
      </c>
    </row>
    <row r="28" customFormat="false" ht="68.8" hidden="false" customHeight="false" outlineLevel="0" collapsed="false">
      <c r="A28" s="19" t="n">
        <v>27</v>
      </c>
      <c r="B28" s="14" t="s">
        <v>178</v>
      </c>
      <c r="C28" s="7" t="b">
        <f aca="false">FALSE()</f>
        <v>0</v>
      </c>
      <c r="D28" s="32" t="s">
        <v>179</v>
      </c>
      <c r="E28" s="9" t="s">
        <v>17</v>
      </c>
      <c r="F28" s="9" t="s">
        <v>18</v>
      </c>
      <c r="G28" s="14" t="s">
        <v>180</v>
      </c>
      <c r="H28" s="33" t="n">
        <v>1</v>
      </c>
      <c r="I28" s="34" t="n">
        <v>1990</v>
      </c>
      <c r="J28" s="34" t="n">
        <v>1994</v>
      </c>
      <c r="K28" s="13" t="s">
        <v>181</v>
      </c>
      <c r="L28" s="14" t="s">
        <v>182</v>
      </c>
      <c r="M28" s="56" t="s">
        <v>183</v>
      </c>
      <c r="N28" s="5" t="n">
        <v>-74.0591967791437</v>
      </c>
      <c r="O28" s="5" t="n">
        <v>4.64934313436259</v>
      </c>
    </row>
    <row r="29" customFormat="false" ht="121.65" hidden="false" customHeight="false" outlineLevel="0" collapsed="false">
      <c r="A29" s="19" t="n">
        <v>28</v>
      </c>
      <c r="B29" s="6" t="s">
        <v>184</v>
      </c>
      <c r="C29" s="7" t="b">
        <f aca="false">FALSE()</f>
        <v>0</v>
      </c>
      <c r="D29" s="53" t="s">
        <v>185</v>
      </c>
      <c r="E29" s="22" t="s">
        <v>186</v>
      </c>
      <c r="F29" s="22" t="s">
        <v>18</v>
      </c>
      <c r="G29" s="20" t="s">
        <v>187</v>
      </c>
      <c r="H29" s="24" t="n">
        <v>4</v>
      </c>
      <c r="I29" s="21" t="n">
        <v>1996</v>
      </c>
      <c r="J29" s="21" t="n">
        <v>2009</v>
      </c>
      <c r="K29" s="25" t="s">
        <v>188</v>
      </c>
      <c r="L29" s="20" t="s">
        <v>189</v>
      </c>
      <c r="M29" s="57" t="s">
        <v>190</v>
      </c>
      <c r="N29" s="19" t="n">
        <v>-74.0551493619436</v>
      </c>
      <c r="O29" s="19" t="n">
        <v>4.66799163471043</v>
      </c>
    </row>
    <row r="30" customFormat="false" ht="49.15" hidden="false" customHeight="false" outlineLevel="0" collapsed="false">
      <c r="A30" s="5" t="n">
        <v>29</v>
      </c>
      <c r="B30" s="6" t="s">
        <v>191</v>
      </c>
      <c r="C30" s="7" t="b">
        <f aca="false">FALSE()</f>
        <v>0</v>
      </c>
      <c r="D30" s="53" t="s">
        <v>192</v>
      </c>
      <c r="E30" s="22" t="s">
        <v>78</v>
      </c>
      <c r="F30" s="22" t="s">
        <v>18</v>
      </c>
      <c r="G30" s="26" t="s">
        <v>193</v>
      </c>
      <c r="H30" s="58" t="n">
        <v>1</v>
      </c>
      <c r="I30" s="21" t="s">
        <v>29</v>
      </c>
      <c r="J30" s="21" t="s">
        <v>29</v>
      </c>
      <c r="K30" s="25" t="s">
        <v>194</v>
      </c>
      <c r="L30" s="21" t="s">
        <v>29</v>
      </c>
      <c r="M30" s="17"/>
      <c r="N30" s="19" t="n">
        <v>-74.0640862258596</v>
      </c>
      <c r="O30" s="19" t="n">
        <v>4.65153880832629</v>
      </c>
    </row>
    <row r="31" customFormat="false" ht="94.65" hidden="false" customHeight="false" outlineLevel="0" collapsed="false">
      <c r="A31" s="5" t="n">
        <v>30</v>
      </c>
      <c r="B31" s="6" t="s">
        <v>195</v>
      </c>
      <c r="C31" s="7" t="b">
        <f aca="false">TRUE()</f>
        <v>1</v>
      </c>
      <c r="D31" s="8" t="s">
        <v>196</v>
      </c>
      <c r="E31" s="9" t="s">
        <v>197</v>
      </c>
      <c r="F31" s="9" t="s">
        <v>18</v>
      </c>
      <c r="G31" s="59" t="s">
        <v>198</v>
      </c>
      <c r="H31" s="60" t="n">
        <v>1</v>
      </c>
      <c r="I31" s="8" t="n">
        <v>1999</v>
      </c>
      <c r="J31" s="12" t="n">
        <v>2013</v>
      </c>
      <c r="K31" s="13" t="s">
        <v>199</v>
      </c>
      <c r="L31" s="14" t="s">
        <v>200</v>
      </c>
      <c r="M31" s="61" t="s">
        <v>201</v>
      </c>
      <c r="N31" s="5" t="n">
        <v>-74.0613851049694</v>
      </c>
      <c r="O31" s="5" t="n">
        <v>4.64447866108779</v>
      </c>
    </row>
    <row r="32" customFormat="false" ht="137.65" hidden="false" customHeight="false" outlineLevel="0" collapsed="false">
      <c r="A32" s="19" t="n">
        <v>31</v>
      </c>
      <c r="B32" s="14" t="s">
        <v>202</v>
      </c>
      <c r="C32" s="7" t="b">
        <f aca="false">FALSE()</f>
        <v>0</v>
      </c>
      <c r="D32" s="32" t="s">
        <v>203</v>
      </c>
      <c r="E32" s="9" t="s">
        <v>204</v>
      </c>
      <c r="F32" s="9" t="s">
        <v>18</v>
      </c>
      <c r="G32" s="14" t="s">
        <v>205</v>
      </c>
      <c r="H32" s="33" t="n">
        <v>1</v>
      </c>
      <c r="I32" s="34" t="n">
        <v>1994</v>
      </c>
      <c r="J32" s="22"/>
      <c r="K32" s="13" t="s">
        <v>206</v>
      </c>
      <c r="L32" s="14" t="s">
        <v>207</v>
      </c>
      <c r="M32" s="40" t="s">
        <v>208</v>
      </c>
      <c r="N32" s="5" t="n">
        <v>-74.055672969328</v>
      </c>
      <c r="O32" s="47" t="n">
        <v>4.6673591269022</v>
      </c>
    </row>
    <row r="33" customFormat="false" ht="72.85" hidden="false" customHeight="false" outlineLevel="0" collapsed="false">
      <c r="A33" s="19" t="n">
        <v>32</v>
      </c>
      <c r="B33" s="14" t="s">
        <v>209</v>
      </c>
      <c r="C33" s="7" t="b">
        <f aca="false">FALSE()</f>
        <v>0</v>
      </c>
      <c r="D33" s="32" t="s">
        <v>210</v>
      </c>
      <c r="E33" s="9" t="s">
        <v>162</v>
      </c>
      <c r="F33" s="9" t="s">
        <v>162</v>
      </c>
      <c r="G33" s="14" t="s">
        <v>211</v>
      </c>
      <c r="H33" s="33" t="n">
        <v>1</v>
      </c>
      <c r="I33" s="34" t="n">
        <v>1992</v>
      </c>
      <c r="J33" s="34" t="n">
        <v>1995</v>
      </c>
      <c r="K33" s="13" t="s">
        <v>212</v>
      </c>
      <c r="L33" s="14" t="s">
        <v>213</v>
      </c>
      <c r="M33" s="22"/>
      <c r="N33" s="37" t="n">
        <v>-74.071407643</v>
      </c>
      <c r="O33" s="37" t="n">
        <v>4.622311024</v>
      </c>
    </row>
    <row r="34" customFormat="false" ht="208.95" hidden="false" customHeight="false" outlineLevel="0" collapsed="false">
      <c r="A34" s="5" t="n">
        <v>33</v>
      </c>
      <c r="B34" s="20" t="s">
        <v>214</v>
      </c>
      <c r="C34" s="7" t="b">
        <f aca="false">FALSE()</f>
        <v>0</v>
      </c>
      <c r="D34" s="53" t="s">
        <v>215</v>
      </c>
      <c r="E34" s="22" t="s">
        <v>216</v>
      </c>
      <c r="F34" s="22" t="s">
        <v>18</v>
      </c>
      <c r="G34" s="20" t="s">
        <v>217</v>
      </c>
      <c r="H34" s="24" t="n">
        <v>2</v>
      </c>
      <c r="I34" s="21" t="n">
        <v>1982</v>
      </c>
      <c r="J34" s="21" t="n">
        <v>1992</v>
      </c>
      <c r="K34" s="25" t="s">
        <v>218</v>
      </c>
      <c r="L34" s="20" t="s">
        <v>219</v>
      </c>
      <c r="M34" s="40" t="s">
        <v>220</v>
      </c>
      <c r="N34" s="19" t="n">
        <v>-74.0447787338047</v>
      </c>
      <c r="O34" s="19" t="n">
        <v>4.67939954989236</v>
      </c>
    </row>
    <row r="35" customFormat="false" ht="111.85" hidden="false" customHeight="false" outlineLevel="0" collapsed="false">
      <c r="A35" s="5" t="n">
        <v>34</v>
      </c>
      <c r="B35" s="6" t="s">
        <v>221</v>
      </c>
      <c r="C35" s="7" t="b">
        <f aca="false">FALSE()</f>
        <v>0</v>
      </c>
      <c r="D35" s="8" t="s">
        <v>222</v>
      </c>
      <c r="E35" s="9" t="s">
        <v>78</v>
      </c>
      <c r="F35" s="9" t="s">
        <v>18</v>
      </c>
      <c r="G35" s="10" t="s">
        <v>223</v>
      </c>
      <c r="H35" s="11" t="n">
        <v>1</v>
      </c>
      <c r="I35" s="12" t="s">
        <v>224</v>
      </c>
      <c r="J35" s="62" t="s">
        <v>225</v>
      </c>
      <c r="K35" s="13" t="s">
        <v>226</v>
      </c>
      <c r="L35" s="14" t="s">
        <v>227</v>
      </c>
      <c r="M35" s="15" t="s">
        <v>228</v>
      </c>
      <c r="N35" s="16" t="n">
        <v>-74.0630257772869</v>
      </c>
      <c r="O35" s="16" t="n">
        <v>4.64651304197121</v>
      </c>
    </row>
    <row r="36" customFormat="false" ht="111.85" hidden="false" customHeight="false" outlineLevel="0" collapsed="false">
      <c r="A36" s="19" t="n">
        <v>35</v>
      </c>
      <c r="B36" s="14" t="s">
        <v>229</v>
      </c>
      <c r="C36" s="7" t="b">
        <f aca="false">FALSE()</f>
        <v>0</v>
      </c>
      <c r="D36" s="32" t="s">
        <v>230</v>
      </c>
      <c r="E36" s="9" t="s">
        <v>35</v>
      </c>
      <c r="F36" s="9" t="s">
        <v>62</v>
      </c>
      <c r="G36" s="14" t="s">
        <v>231</v>
      </c>
      <c r="H36" s="14" t="n">
        <v>1</v>
      </c>
      <c r="I36" s="34" t="n">
        <v>1992</v>
      </c>
      <c r="J36" s="34" t="n">
        <v>1994</v>
      </c>
      <c r="K36" s="13" t="s">
        <v>232</v>
      </c>
      <c r="L36" s="14" t="s">
        <v>233</v>
      </c>
      <c r="M36" s="35" t="s">
        <v>234</v>
      </c>
      <c r="N36" s="5" t="n">
        <v>-74.0717485031205</v>
      </c>
      <c r="O36" s="5" t="n">
        <v>4.59504553163596</v>
      </c>
    </row>
    <row r="37" customFormat="false" ht="135.2" hidden="false" customHeight="false" outlineLevel="0" collapsed="false">
      <c r="A37" s="19" t="n">
        <v>36</v>
      </c>
      <c r="B37" s="20" t="s">
        <v>235</v>
      </c>
      <c r="C37" s="7" t="b">
        <f aca="false">FALSE()</f>
        <v>0</v>
      </c>
      <c r="D37" s="53" t="s">
        <v>236</v>
      </c>
      <c r="E37" s="22" t="s">
        <v>237</v>
      </c>
      <c r="F37" s="22" t="s">
        <v>162</v>
      </c>
      <c r="G37" s="20" t="s">
        <v>238</v>
      </c>
      <c r="H37" s="24" t="n">
        <v>2</v>
      </c>
      <c r="I37" s="21" t="s">
        <v>239</v>
      </c>
      <c r="J37" s="21" t="s">
        <v>29</v>
      </c>
      <c r="K37" s="20" t="s">
        <v>240</v>
      </c>
      <c r="L37" s="14" t="s">
        <v>233</v>
      </c>
      <c r="M37" s="14" t="s">
        <v>241</v>
      </c>
      <c r="N37" s="19" t="n">
        <v>-74.0735101194882</v>
      </c>
      <c r="O37" s="19" t="n">
        <v>4.64178648091517</v>
      </c>
    </row>
    <row r="38" customFormat="false" ht="185.5" hidden="false" customHeight="false" outlineLevel="0" collapsed="false">
      <c r="A38" s="5" t="n">
        <v>37</v>
      </c>
      <c r="B38" s="14" t="s">
        <v>242</v>
      </c>
      <c r="C38" s="7" t="b">
        <f aca="false">FALSE()</f>
        <v>0</v>
      </c>
      <c r="D38" s="8" t="s">
        <v>243</v>
      </c>
      <c r="E38" s="9" t="s">
        <v>78</v>
      </c>
      <c r="F38" s="9" t="s">
        <v>18</v>
      </c>
      <c r="G38" s="10" t="s">
        <v>63</v>
      </c>
      <c r="H38" s="11" t="n">
        <v>1</v>
      </c>
      <c r="I38" s="34" t="n">
        <v>1965</v>
      </c>
      <c r="J38" s="34" t="s">
        <v>244</v>
      </c>
      <c r="K38" s="45" t="s">
        <v>245</v>
      </c>
      <c r="L38" s="14" t="s">
        <v>246</v>
      </c>
      <c r="M38" s="61" t="s">
        <v>247</v>
      </c>
      <c r="N38" s="5" t="n">
        <v>-74.0636159376802</v>
      </c>
      <c r="O38" s="5" t="n">
        <v>4.64945008324522</v>
      </c>
    </row>
    <row r="39" customFormat="false" ht="154.9" hidden="false" customHeight="false" outlineLevel="0" collapsed="false">
      <c r="A39" s="5" t="n">
        <v>38</v>
      </c>
      <c r="B39" s="14" t="s">
        <v>248</v>
      </c>
      <c r="C39" s="7" t="b">
        <f aca="false">TRUE()</f>
        <v>1</v>
      </c>
      <c r="D39" s="32" t="s">
        <v>249</v>
      </c>
      <c r="E39" s="9" t="s">
        <v>45</v>
      </c>
      <c r="F39" s="9" t="s">
        <v>46</v>
      </c>
      <c r="G39" s="14" t="s">
        <v>250</v>
      </c>
      <c r="H39" s="33" t="n">
        <v>2</v>
      </c>
      <c r="I39" s="34" t="n">
        <v>1968</v>
      </c>
      <c r="J39" s="34" t="n">
        <v>2022</v>
      </c>
      <c r="K39" s="52" t="s">
        <v>251</v>
      </c>
      <c r="L39" s="14" t="s">
        <v>252</v>
      </c>
      <c r="M39" s="27" t="s">
        <v>253</v>
      </c>
      <c r="N39" s="37" t="n">
        <v>-74.072085294</v>
      </c>
      <c r="O39" s="63" t="n">
        <v>4.608855586</v>
      </c>
    </row>
    <row r="40" customFormat="false" ht="68.8" hidden="false" customHeight="false" outlineLevel="0" collapsed="false">
      <c r="A40" s="19" t="n">
        <v>39</v>
      </c>
      <c r="B40" s="14" t="s">
        <v>254</v>
      </c>
      <c r="C40" s="7" t="b">
        <f aca="false">FALSE()</f>
        <v>0</v>
      </c>
      <c r="D40" s="32" t="s">
        <v>255</v>
      </c>
      <c r="E40" s="9" t="s">
        <v>256</v>
      </c>
      <c r="F40" s="9" t="s">
        <v>18</v>
      </c>
      <c r="G40" s="9" t="s">
        <v>27</v>
      </c>
      <c r="H40" s="5" t="n">
        <v>4</v>
      </c>
      <c r="I40" s="34" t="s">
        <v>29</v>
      </c>
      <c r="J40" s="34" t="s">
        <v>257</v>
      </c>
      <c r="K40" s="13" t="s">
        <v>258</v>
      </c>
      <c r="L40" s="34" t="s">
        <v>29</v>
      </c>
      <c r="M40" s="35" t="s">
        <v>259</v>
      </c>
      <c r="N40" s="5" t="n">
        <v>-74.0551227742845</v>
      </c>
      <c r="O40" s="5" t="n">
        <v>4.66897395324348</v>
      </c>
    </row>
    <row r="41" customFormat="false" ht="77.45" hidden="false" customHeight="false" outlineLevel="0" collapsed="false">
      <c r="A41" s="19" t="n">
        <v>40</v>
      </c>
      <c r="B41" s="14" t="s">
        <v>260</v>
      </c>
      <c r="C41" s="7" t="b">
        <f aca="false">FALSE()</f>
        <v>0</v>
      </c>
      <c r="D41" s="32" t="s">
        <v>261</v>
      </c>
      <c r="E41" s="9" t="s">
        <v>108</v>
      </c>
      <c r="F41" s="9" t="s">
        <v>46</v>
      </c>
      <c r="G41" s="9" t="s">
        <v>149</v>
      </c>
      <c r="H41" s="5" t="n">
        <v>2</v>
      </c>
      <c r="I41" s="34" t="s">
        <v>262</v>
      </c>
      <c r="J41" s="34" t="s">
        <v>244</v>
      </c>
      <c r="K41" s="13" t="s">
        <v>263</v>
      </c>
      <c r="L41" s="34" t="s">
        <v>29</v>
      </c>
      <c r="M41" s="40" t="s">
        <v>264</v>
      </c>
      <c r="N41" s="5" t="n">
        <v>-74.0668282742848</v>
      </c>
      <c r="O41" s="5" t="n">
        <v>4.61359948276663</v>
      </c>
    </row>
    <row r="42" customFormat="false" ht="34.4" hidden="false" customHeight="false" outlineLevel="0" collapsed="false">
      <c r="A42" s="5" t="n">
        <v>41</v>
      </c>
      <c r="B42" s="14" t="s">
        <v>265</v>
      </c>
      <c r="C42" s="7" t="b">
        <f aca="false">FALSE()</f>
        <v>0</v>
      </c>
      <c r="D42" s="34" t="s">
        <v>266</v>
      </c>
      <c r="E42" s="9" t="s">
        <v>267</v>
      </c>
      <c r="F42" s="9" t="s">
        <v>18</v>
      </c>
      <c r="G42" s="14" t="s">
        <v>268</v>
      </c>
      <c r="H42" s="33" t="n">
        <v>4</v>
      </c>
      <c r="I42" s="34" t="s">
        <v>269</v>
      </c>
      <c r="J42" s="34" t="s">
        <v>270</v>
      </c>
      <c r="K42" s="13" t="s">
        <v>271</v>
      </c>
      <c r="L42" s="14" t="s">
        <v>272</v>
      </c>
      <c r="M42" s="64" t="s">
        <v>273</v>
      </c>
      <c r="N42" s="5" t="n">
        <v>-74.0647904338051</v>
      </c>
      <c r="O42" s="5" t="n">
        <v>4.63077329745221</v>
      </c>
    </row>
    <row r="43" customFormat="false" ht="62.65" hidden="false" customHeight="false" outlineLevel="0" collapsed="false">
      <c r="A43" s="5" t="n">
        <v>42</v>
      </c>
      <c r="B43" s="14" t="s">
        <v>274</v>
      </c>
      <c r="C43" s="7" t="b">
        <f aca="false">FALSE()</f>
        <v>0</v>
      </c>
      <c r="D43" s="32" t="s">
        <v>275</v>
      </c>
      <c r="E43" s="9" t="s">
        <v>276</v>
      </c>
      <c r="F43" s="9" t="s">
        <v>18</v>
      </c>
      <c r="G43" s="14" t="s">
        <v>277</v>
      </c>
      <c r="H43" s="33" t="n">
        <v>1</v>
      </c>
      <c r="I43" s="34" t="s">
        <v>278</v>
      </c>
      <c r="J43" s="34" t="s">
        <v>279</v>
      </c>
      <c r="K43" s="13" t="s">
        <v>280</v>
      </c>
      <c r="L43" s="9" t="s">
        <v>281</v>
      </c>
      <c r="M43" s="65" t="s">
        <v>282</v>
      </c>
      <c r="N43" s="5" t="n">
        <v>-74.0566949203117</v>
      </c>
      <c r="O43" s="5" t="n">
        <v>4.66505307461285</v>
      </c>
    </row>
    <row r="44" customFormat="false" ht="52.4" hidden="false" customHeight="false" outlineLevel="0" collapsed="false">
      <c r="A44" s="19" t="n">
        <v>43</v>
      </c>
      <c r="B44" s="14" t="s">
        <v>283</v>
      </c>
      <c r="C44" s="7" t="b">
        <f aca="false">FALSE()</f>
        <v>0</v>
      </c>
      <c r="D44" s="32" t="s">
        <v>284</v>
      </c>
      <c r="E44" s="9" t="s">
        <v>285</v>
      </c>
      <c r="F44" s="9" t="s">
        <v>18</v>
      </c>
      <c r="G44" s="14" t="s">
        <v>286</v>
      </c>
      <c r="H44" s="33" t="n">
        <v>1</v>
      </c>
      <c r="I44" s="34" t="s">
        <v>29</v>
      </c>
      <c r="J44" s="34" t="n">
        <v>1995</v>
      </c>
      <c r="K44" s="13" t="s">
        <v>287</v>
      </c>
      <c r="L44" s="14" t="s">
        <v>288</v>
      </c>
      <c r="M44" s="66" t="s">
        <v>289</v>
      </c>
      <c r="N44" s="5" t="n">
        <v>-74.0549393761336</v>
      </c>
      <c r="O44" s="5" t="n">
        <v>4.66692084717073</v>
      </c>
    </row>
    <row r="45" customFormat="false" ht="129.05" hidden="false" customHeight="false" outlineLevel="0" collapsed="false">
      <c r="A45" s="19" t="n">
        <v>44</v>
      </c>
      <c r="B45" s="14" t="s">
        <v>290</v>
      </c>
      <c r="C45" s="7" t="b">
        <f aca="false">FALSE()</f>
        <v>0</v>
      </c>
      <c r="D45" s="32" t="s">
        <v>291</v>
      </c>
      <c r="E45" s="9" t="s">
        <v>45</v>
      </c>
      <c r="F45" s="9" t="s">
        <v>94</v>
      </c>
      <c r="G45" s="14" t="s">
        <v>292</v>
      </c>
      <c r="H45" s="33" t="n">
        <v>1</v>
      </c>
      <c r="I45" s="34" t="n">
        <v>1990</v>
      </c>
      <c r="J45" s="34" t="n">
        <v>2000</v>
      </c>
      <c r="K45" s="13" t="s">
        <v>293</v>
      </c>
      <c r="L45" s="14" t="s">
        <v>294</v>
      </c>
      <c r="M45" s="67" t="s">
        <v>295</v>
      </c>
      <c r="N45" s="47" t="n">
        <v>-74.0691042800303</v>
      </c>
      <c r="O45" s="47" t="n">
        <v>4.60342315605322</v>
      </c>
    </row>
    <row r="46" customFormat="false" ht="109.6" hidden="false" customHeight="false" outlineLevel="0" collapsed="false">
      <c r="A46" s="5" t="n">
        <v>45</v>
      </c>
      <c r="B46" s="20" t="s">
        <v>296</v>
      </c>
      <c r="C46" s="7" t="b">
        <f aca="false">FALSE()</f>
        <v>0</v>
      </c>
      <c r="D46" s="17" t="s">
        <v>297</v>
      </c>
      <c r="E46" s="22" t="s">
        <v>298</v>
      </c>
      <c r="F46" s="22" t="s">
        <v>299</v>
      </c>
      <c r="G46" s="20" t="s">
        <v>300</v>
      </c>
      <c r="H46" s="24" t="n">
        <v>1</v>
      </c>
      <c r="I46" s="21" t="n">
        <v>2007</v>
      </c>
      <c r="J46" s="21" t="s">
        <v>29</v>
      </c>
      <c r="K46" s="20" t="s">
        <v>301</v>
      </c>
      <c r="L46" s="21" t="s">
        <v>29</v>
      </c>
      <c r="M46" s="40" t="s">
        <v>302</v>
      </c>
      <c r="N46" s="19" t="n">
        <v>-74.1017885338048</v>
      </c>
      <c r="O46" s="19" t="n">
        <v>4.67872221555283</v>
      </c>
    </row>
    <row r="47" customFormat="false" ht="121.65" hidden="false" customHeight="false" outlineLevel="0" collapsed="false">
      <c r="A47" s="5" t="n">
        <v>46</v>
      </c>
      <c r="B47" s="20" t="s">
        <v>296</v>
      </c>
      <c r="C47" s="7" t="b">
        <f aca="false">FALSE()</f>
        <v>0</v>
      </c>
      <c r="D47" s="53" t="s">
        <v>303</v>
      </c>
      <c r="E47" s="22"/>
      <c r="F47" s="22" t="s">
        <v>304</v>
      </c>
      <c r="G47" s="20" t="s">
        <v>130</v>
      </c>
      <c r="H47" s="24" t="n">
        <v>1</v>
      </c>
      <c r="I47" s="21" t="n">
        <v>1997</v>
      </c>
      <c r="J47" s="21" t="s">
        <v>29</v>
      </c>
      <c r="K47" s="20" t="s">
        <v>305</v>
      </c>
      <c r="L47" s="21" t="s">
        <v>306</v>
      </c>
      <c r="M47" s="40" t="s">
        <v>307</v>
      </c>
      <c r="N47" s="19" t="n">
        <v>-74.1364350049691</v>
      </c>
      <c r="O47" s="19" t="n">
        <v>4.67960257060379</v>
      </c>
    </row>
    <row r="48" customFormat="false" ht="103.25" hidden="false" customHeight="false" outlineLevel="0" collapsed="false">
      <c r="A48" s="19" t="n">
        <v>47</v>
      </c>
      <c r="B48" s="14" t="s">
        <v>308</v>
      </c>
      <c r="C48" s="7" t="b">
        <f aca="false">FALSE()</f>
        <v>0</v>
      </c>
      <c r="D48" s="32" t="s">
        <v>309</v>
      </c>
      <c r="E48" s="9" t="s">
        <v>310</v>
      </c>
      <c r="F48" s="9" t="s">
        <v>311</v>
      </c>
      <c r="G48" s="22"/>
      <c r="H48" s="33" t="n">
        <v>2</v>
      </c>
      <c r="I48" s="21" t="s">
        <v>29</v>
      </c>
      <c r="J48" s="21" t="s">
        <v>29</v>
      </c>
      <c r="K48" s="14" t="s">
        <v>312</v>
      </c>
      <c r="L48" s="21" t="s">
        <v>29</v>
      </c>
      <c r="M48" s="40" t="s">
        <v>313</v>
      </c>
      <c r="N48" s="5" t="n">
        <v>-74.1366923796135</v>
      </c>
      <c r="O48" s="5" t="n">
        <v>4.58692176460134</v>
      </c>
    </row>
    <row r="49" customFormat="false" ht="25.3" hidden="false" customHeight="false" outlineLevel="0" collapsed="false">
      <c r="A49" s="19" t="n">
        <v>48</v>
      </c>
      <c r="B49" s="20" t="s">
        <v>314</v>
      </c>
      <c r="C49" s="7" t="b">
        <f aca="false">FALSE()</f>
        <v>0</v>
      </c>
      <c r="D49" s="53" t="s">
        <v>315</v>
      </c>
      <c r="E49" s="22" t="s">
        <v>148</v>
      </c>
      <c r="F49" s="22" t="s">
        <v>94</v>
      </c>
      <c r="G49" s="68" t="s">
        <v>316</v>
      </c>
      <c r="H49" s="69" t="n">
        <v>5</v>
      </c>
      <c r="I49" s="21" t="s">
        <v>317</v>
      </c>
      <c r="J49" s="21" t="s">
        <v>29</v>
      </c>
      <c r="K49" s="70" t="s">
        <v>318</v>
      </c>
      <c r="L49" s="20" t="s">
        <v>319</v>
      </c>
      <c r="M49" s="27" t="s">
        <v>320</v>
      </c>
      <c r="N49" s="19" t="n">
        <v>-74.0724908216129</v>
      </c>
      <c r="O49" s="19" t="n">
        <v>4.61007548985582</v>
      </c>
    </row>
    <row r="50" customFormat="false" ht="73.45" hidden="false" customHeight="false" outlineLevel="0" collapsed="false">
      <c r="A50" s="19" t="n">
        <v>49</v>
      </c>
      <c r="B50" s="20" t="s">
        <v>321</v>
      </c>
      <c r="C50" s="7" t="b">
        <f aca="false">FALSE()</f>
        <v>0</v>
      </c>
      <c r="D50" s="53" t="s">
        <v>322</v>
      </c>
      <c r="E50" s="22" t="s">
        <v>323</v>
      </c>
      <c r="F50" s="22"/>
      <c r="G50" s="17" t="s">
        <v>316</v>
      </c>
      <c r="H50" s="28" t="n">
        <v>5</v>
      </c>
      <c r="I50" s="21" t="s">
        <v>29</v>
      </c>
      <c r="J50" s="21" t="s">
        <v>29</v>
      </c>
      <c r="K50" s="20" t="s">
        <v>324</v>
      </c>
      <c r="L50" s="20" t="s">
        <v>29</v>
      </c>
      <c r="M50" s="70" t="s">
        <v>325</v>
      </c>
      <c r="N50" s="19" t="n">
        <v>-74.072305176134</v>
      </c>
      <c r="O50" s="19" t="n">
        <v>4.60917401332827</v>
      </c>
    </row>
    <row r="51" customFormat="false" ht="86.05" hidden="false" customHeight="false" outlineLevel="0" collapsed="false">
      <c r="A51" s="19" t="n">
        <v>50</v>
      </c>
      <c r="B51" s="14" t="s">
        <v>326</v>
      </c>
      <c r="C51" s="7" t="b">
        <f aca="false">TRUE()</f>
        <v>1</v>
      </c>
      <c r="D51" s="32" t="s">
        <v>327</v>
      </c>
      <c r="E51" s="9" t="s">
        <v>328</v>
      </c>
      <c r="F51" s="9" t="s">
        <v>94</v>
      </c>
      <c r="G51" s="9" t="s">
        <v>329</v>
      </c>
      <c r="H51" s="5" t="n">
        <v>4</v>
      </c>
      <c r="I51" s="34" t="n">
        <v>2004</v>
      </c>
      <c r="J51" s="34" t="n">
        <v>2009</v>
      </c>
      <c r="K51" s="13" t="s">
        <v>330</v>
      </c>
      <c r="L51" s="20" t="s">
        <v>29</v>
      </c>
      <c r="M51" s="14" t="s">
        <v>331</v>
      </c>
      <c r="N51" s="5" t="n">
        <v>-74.0690512</v>
      </c>
      <c r="O51" s="5" t="n">
        <v>4.6182412</v>
      </c>
    </row>
    <row r="52" customFormat="false" ht="77.45" hidden="false" customHeight="false" outlineLevel="0" collapsed="false">
      <c r="A52" s="5" t="n">
        <v>51</v>
      </c>
      <c r="B52" s="14" t="s">
        <v>332</v>
      </c>
      <c r="C52" s="7" t="b">
        <f aca="false">FALSE()</f>
        <v>0</v>
      </c>
      <c r="D52" s="17" t="s">
        <v>333</v>
      </c>
      <c r="E52" s="9" t="s">
        <v>78</v>
      </c>
      <c r="F52" s="9" t="s">
        <v>18</v>
      </c>
      <c r="G52" s="14" t="s">
        <v>334</v>
      </c>
      <c r="H52" s="33" t="n">
        <v>1</v>
      </c>
      <c r="I52" s="34" t="s">
        <v>335</v>
      </c>
      <c r="J52" s="34" t="s">
        <v>336</v>
      </c>
      <c r="K52" s="14" t="s">
        <v>337</v>
      </c>
      <c r="L52" s="14" t="s">
        <v>338</v>
      </c>
      <c r="M52" s="14" t="s">
        <v>339</v>
      </c>
      <c r="N52" s="5" t="n">
        <v>-74.0644659914762</v>
      </c>
      <c r="O52" s="5" t="n">
        <v>4.65223176511791</v>
      </c>
    </row>
    <row r="53" customFormat="false" ht="295.05" hidden="false" customHeight="false" outlineLevel="0" collapsed="false">
      <c r="A53" s="5" t="n">
        <v>52</v>
      </c>
      <c r="B53" s="71" t="s">
        <v>340</v>
      </c>
      <c r="C53" s="7" t="b">
        <f aca="false">FALSE()</f>
        <v>0</v>
      </c>
      <c r="D53" s="53" t="s">
        <v>341</v>
      </c>
      <c r="E53" s="22" t="s">
        <v>108</v>
      </c>
      <c r="F53" s="22" t="s">
        <v>94</v>
      </c>
      <c r="G53" s="20" t="s">
        <v>27</v>
      </c>
      <c r="H53" s="24" t="n">
        <v>4</v>
      </c>
      <c r="I53" s="21" t="n">
        <v>2010</v>
      </c>
      <c r="J53" s="21" t="n">
        <v>2023</v>
      </c>
      <c r="K53" s="25" t="s">
        <v>342</v>
      </c>
      <c r="L53" s="20" t="s">
        <v>343</v>
      </c>
      <c r="M53" s="35" t="s">
        <v>344</v>
      </c>
      <c r="N53" s="19" t="n">
        <v>-74.0689973069432</v>
      </c>
      <c r="O53" s="19" t="n">
        <v>4.61309993780689</v>
      </c>
    </row>
    <row r="54" customFormat="false" ht="77.45" hidden="false" customHeight="false" outlineLevel="0" collapsed="false">
      <c r="A54" s="19" t="n">
        <v>53</v>
      </c>
      <c r="B54" s="14" t="s">
        <v>345</v>
      </c>
      <c r="C54" s="7" t="b">
        <f aca="false">FALSE()</f>
        <v>0</v>
      </c>
      <c r="D54" s="32" t="s">
        <v>346</v>
      </c>
      <c r="E54" s="9" t="s">
        <v>186</v>
      </c>
      <c r="F54" s="9" t="s">
        <v>18</v>
      </c>
      <c r="G54" s="9" t="s">
        <v>149</v>
      </c>
      <c r="H54" s="5" t="n">
        <v>2</v>
      </c>
      <c r="I54" s="34" t="n">
        <v>1980</v>
      </c>
      <c r="J54" s="34" t="s">
        <v>29</v>
      </c>
      <c r="K54" s="14" t="s">
        <v>347</v>
      </c>
      <c r="L54" s="20" t="s">
        <v>29</v>
      </c>
      <c r="M54" s="27" t="s">
        <v>348</v>
      </c>
      <c r="N54" s="5" t="n">
        <v>-74.0533836681723</v>
      </c>
      <c r="O54" s="5" t="n">
        <v>4.66981486682103</v>
      </c>
    </row>
    <row r="55" customFormat="false" ht="137.65" hidden="false" customHeight="false" outlineLevel="0" collapsed="false">
      <c r="A55" s="19" t="n">
        <v>54</v>
      </c>
      <c r="B55" s="48" t="s">
        <v>349</v>
      </c>
      <c r="C55" s="7" t="b">
        <f aca="false">FALSE()</f>
        <v>0</v>
      </c>
      <c r="D55" s="22"/>
      <c r="E55" s="22"/>
      <c r="F55" s="9" t="s">
        <v>323</v>
      </c>
      <c r="G55" s="9" t="s">
        <v>119</v>
      </c>
      <c r="H55" s="5" t="n">
        <v>1</v>
      </c>
      <c r="I55" s="34" t="s">
        <v>29</v>
      </c>
      <c r="J55" s="34" t="s">
        <v>29</v>
      </c>
      <c r="K55" s="14" t="s">
        <v>350</v>
      </c>
      <c r="L55" s="20" t="s">
        <v>29</v>
      </c>
      <c r="M55" s="40" t="s">
        <v>351</v>
      </c>
      <c r="N55" s="22"/>
      <c r="O55" s="22"/>
    </row>
    <row r="56" customFormat="false" ht="42.15" hidden="false" customHeight="false" outlineLevel="0" collapsed="false">
      <c r="A56" s="19" t="n">
        <v>55</v>
      </c>
      <c r="B56" s="14" t="s">
        <v>352</v>
      </c>
      <c r="C56" s="7" t="b">
        <f aca="false">FALSE()</f>
        <v>0</v>
      </c>
      <c r="D56" s="32" t="s">
        <v>353</v>
      </c>
      <c r="E56" s="9" t="s">
        <v>216</v>
      </c>
      <c r="F56" s="9" t="s">
        <v>18</v>
      </c>
      <c r="G56" s="14" t="s">
        <v>354</v>
      </c>
      <c r="H56" s="33" t="n">
        <v>1</v>
      </c>
      <c r="I56" s="20" t="s">
        <v>29</v>
      </c>
      <c r="J56" s="20" t="s">
        <v>29</v>
      </c>
      <c r="K56" s="14" t="s">
        <v>355</v>
      </c>
      <c r="L56" s="22"/>
      <c r="M56" s="22"/>
      <c r="N56" s="5" t="n">
        <v>-74.0494833319555</v>
      </c>
      <c r="O56" s="5" t="n">
        <v>4.67929819837382</v>
      </c>
    </row>
    <row r="57" customFormat="false" ht="196.7" hidden="false" customHeight="false" outlineLevel="0" collapsed="false">
      <c r="A57" s="19" t="n">
        <v>56</v>
      </c>
      <c r="B57" s="20" t="s">
        <v>356</v>
      </c>
      <c r="C57" s="7" t="b">
        <f aca="false">FALSE()</f>
        <v>0</v>
      </c>
      <c r="D57" s="53" t="s">
        <v>357</v>
      </c>
      <c r="E57" s="22" t="s">
        <v>358</v>
      </c>
      <c r="F57" s="22" t="s">
        <v>94</v>
      </c>
      <c r="G57" s="20" t="s">
        <v>359</v>
      </c>
      <c r="H57" s="24" t="n">
        <v>4</v>
      </c>
      <c r="I57" s="21" t="n">
        <v>2000</v>
      </c>
      <c r="J57" s="21" t="n">
        <v>2010</v>
      </c>
      <c r="K57" s="25" t="s">
        <v>360</v>
      </c>
      <c r="L57" s="20" t="s">
        <v>29</v>
      </c>
      <c r="M57" s="35" t="s">
        <v>361</v>
      </c>
      <c r="N57" s="19" t="n">
        <v>-74.0690753607915</v>
      </c>
      <c r="O57" s="19" t="n">
        <v>4.61327448877964</v>
      </c>
    </row>
    <row r="58" customFormat="false" ht="145.75" hidden="false" customHeight="false" outlineLevel="0" collapsed="false">
      <c r="A58" s="5" t="n">
        <v>57</v>
      </c>
      <c r="B58" s="20" t="s">
        <v>362</v>
      </c>
      <c r="C58" s="7" t="b">
        <f aca="false">FALSE()</f>
        <v>0</v>
      </c>
      <c r="D58" s="53" t="s">
        <v>363</v>
      </c>
      <c r="E58" s="22" t="s">
        <v>45</v>
      </c>
      <c r="F58" s="22" t="s">
        <v>94</v>
      </c>
      <c r="G58" s="22"/>
      <c r="H58" s="24" t="n">
        <v>2</v>
      </c>
      <c r="I58" s="21" t="n">
        <v>1987</v>
      </c>
      <c r="J58" s="21" t="n">
        <v>2010</v>
      </c>
      <c r="K58" s="25" t="s">
        <v>364</v>
      </c>
      <c r="L58" s="20" t="s">
        <v>365</v>
      </c>
      <c r="M58" s="35" t="s">
        <v>366</v>
      </c>
      <c r="N58" s="19" t="n">
        <v>-74.0702356380712</v>
      </c>
      <c r="O58" s="19" t="n">
        <v>4.60954315725774</v>
      </c>
    </row>
    <row r="59" customFormat="false" ht="111.85" hidden="false" customHeight="false" outlineLevel="0" collapsed="false">
      <c r="A59" s="5" t="n">
        <v>58</v>
      </c>
      <c r="B59" s="14" t="s">
        <v>367</v>
      </c>
      <c r="C59" s="7" t="b">
        <f aca="false">FALSE()</f>
        <v>0</v>
      </c>
      <c r="D59" s="32" t="s">
        <v>368</v>
      </c>
      <c r="E59" s="9" t="s">
        <v>369</v>
      </c>
      <c r="F59" s="9" t="s">
        <v>94</v>
      </c>
      <c r="G59" s="14" t="s">
        <v>370</v>
      </c>
      <c r="H59" s="33" t="n">
        <v>2</v>
      </c>
      <c r="I59" s="34" t="n">
        <v>1999</v>
      </c>
      <c r="J59" s="34" t="n">
        <v>2003</v>
      </c>
      <c r="K59" s="13" t="s">
        <v>371</v>
      </c>
      <c r="L59" s="22"/>
      <c r="M59" s="57" t="s">
        <v>372</v>
      </c>
      <c r="N59" s="5" t="n">
        <v>-74.0637969818929</v>
      </c>
      <c r="O59" s="5" t="n">
        <v>4.62081586312518</v>
      </c>
    </row>
    <row r="60" customFormat="false" ht="146.25" hidden="false" customHeight="false" outlineLevel="0" collapsed="false">
      <c r="A60" s="19" t="n">
        <v>59</v>
      </c>
      <c r="B60" s="14" t="s">
        <v>373</v>
      </c>
      <c r="C60" s="7" t="b">
        <f aca="false">FALSE()</f>
        <v>0</v>
      </c>
      <c r="D60" s="32" t="s">
        <v>374</v>
      </c>
      <c r="E60" s="9" t="s">
        <v>78</v>
      </c>
      <c r="F60" s="9" t="s">
        <v>18</v>
      </c>
      <c r="G60" s="14" t="s">
        <v>63</v>
      </c>
      <c r="H60" s="33" t="n">
        <v>1</v>
      </c>
      <c r="I60" s="34" t="n">
        <v>1993</v>
      </c>
      <c r="J60" s="34" t="n">
        <v>1995</v>
      </c>
      <c r="K60" s="13" t="s">
        <v>375</v>
      </c>
      <c r="L60" s="22"/>
      <c r="M60" s="40" t="s">
        <v>376</v>
      </c>
      <c r="N60" s="5" t="n">
        <v>-74.062003308646</v>
      </c>
      <c r="O60" s="5" t="n">
        <v>4.64548012232655</v>
      </c>
    </row>
    <row r="61" customFormat="false" ht="120.45" hidden="false" customHeight="false" outlineLevel="0" collapsed="false">
      <c r="A61" s="19" t="n">
        <v>60</v>
      </c>
      <c r="B61" s="14" t="s">
        <v>377</v>
      </c>
      <c r="C61" s="7" t="b">
        <f aca="false">TRUE()</f>
        <v>1</v>
      </c>
      <c r="D61" s="32" t="s">
        <v>378</v>
      </c>
      <c r="E61" s="9" t="s">
        <v>78</v>
      </c>
      <c r="F61" s="9" t="s">
        <v>18</v>
      </c>
      <c r="G61" s="14" t="s">
        <v>379</v>
      </c>
      <c r="H61" s="33" t="n">
        <v>4</v>
      </c>
      <c r="I61" s="34" t="n">
        <v>1991</v>
      </c>
      <c r="J61" s="34" t="n">
        <v>1992</v>
      </c>
      <c r="K61" s="13" t="s">
        <v>380</v>
      </c>
      <c r="L61" s="14" t="s">
        <v>381</v>
      </c>
      <c r="M61" s="27" t="s">
        <v>382</v>
      </c>
      <c r="N61" s="5" t="n">
        <v>-74.0646247335354</v>
      </c>
      <c r="O61" s="5" t="n">
        <v>4.64035317506175</v>
      </c>
    </row>
    <row r="62" customFormat="false" ht="49.35" hidden="false" customHeight="false" outlineLevel="0" collapsed="false">
      <c r="A62" s="19" t="n">
        <v>61</v>
      </c>
      <c r="B62" s="20" t="s">
        <v>383</v>
      </c>
      <c r="C62" s="7" t="b">
        <f aca="false">FALSE()</f>
        <v>0</v>
      </c>
      <c r="D62" s="53" t="s">
        <v>384</v>
      </c>
      <c r="E62" s="22" t="s">
        <v>256</v>
      </c>
      <c r="F62" s="22" t="s">
        <v>18</v>
      </c>
      <c r="G62" s="20" t="s">
        <v>238</v>
      </c>
      <c r="H62" s="24" t="n">
        <v>2</v>
      </c>
      <c r="I62" s="21" t="n">
        <v>1995</v>
      </c>
      <c r="J62" s="21" t="s">
        <v>29</v>
      </c>
      <c r="K62" s="46"/>
      <c r="L62" s="22"/>
      <c r="M62" s="27" t="s">
        <v>385</v>
      </c>
      <c r="N62" s="19" t="n">
        <v>-74.0636745483637</v>
      </c>
      <c r="O62" s="19" t="n">
        <v>4.67302587664622</v>
      </c>
    </row>
    <row r="63" customFormat="false" ht="129.05" hidden="false" customHeight="false" outlineLevel="0" collapsed="false">
      <c r="A63" s="19" t="n">
        <v>62</v>
      </c>
      <c r="B63" s="14" t="s">
        <v>386</v>
      </c>
      <c r="C63" s="7" t="b">
        <f aca="false">FALSE()</f>
        <v>0</v>
      </c>
      <c r="D63" s="32" t="s">
        <v>387</v>
      </c>
      <c r="E63" s="9" t="s">
        <v>108</v>
      </c>
      <c r="F63" s="9" t="s">
        <v>94</v>
      </c>
      <c r="G63" s="14" t="s">
        <v>388</v>
      </c>
      <c r="H63" s="33" t="n">
        <v>1</v>
      </c>
      <c r="I63" s="34" t="n">
        <v>1992</v>
      </c>
      <c r="J63" s="34" t="n">
        <v>1992</v>
      </c>
      <c r="K63" s="13" t="s">
        <v>389</v>
      </c>
      <c r="L63" s="20" t="s">
        <v>390</v>
      </c>
      <c r="M63" s="14" t="s">
        <v>391</v>
      </c>
      <c r="N63" s="5" t="n">
        <v>-74.0661274626407</v>
      </c>
      <c r="O63" s="5" t="n">
        <v>4.61411987668495</v>
      </c>
    </row>
    <row r="64" customFormat="false" ht="154.9" hidden="false" customHeight="false" outlineLevel="0" collapsed="false">
      <c r="A64" s="5" t="n">
        <v>63</v>
      </c>
      <c r="B64" s="14" t="s">
        <v>392</v>
      </c>
      <c r="C64" s="7" t="b">
        <f aca="false">TRUE()</f>
        <v>1</v>
      </c>
      <c r="D64" s="34" t="s">
        <v>393</v>
      </c>
      <c r="E64" s="14" t="s">
        <v>394</v>
      </c>
      <c r="F64" s="14" t="s">
        <v>94</v>
      </c>
      <c r="G64" s="14" t="s">
        <v>395</v>
      </c>
      <c r="H64" s="33" t="n">
        <v>1</v>
      </c>
      <c r="I64" s="34" t="n">
        <v>1994</v>
      </c>
      <c r="J64" s="34" t="n">
        <v>1998</v>
      </c>
      <c r="K64" s="13" t="s">
        <v>396</v>
      </c>
      <c r="L64" s="14" t="s">
        <v>397</v>
      </c>
      <c r="M64" s="27" t="s">
        <v>398</v>
      </c>
      <c r="N64" s="5" t="n">
        <v>-74.0688235049695</v>
      </c>
      <c r="O64" s="5" t="n">
        <v>4.62283855585699</v>
      </c>
    </row>
    <row r="65" customFormat="false" ht="154.9" hidden="false" customHeight="false" outlineLevel="0" collapsed="false">
      <c r="A65" s="5" t="n">
        <v>64</v>
      </c>
      <c r="B65" s="14" t="s">
        <v>392</v>
      </c>
      <c r="C65" s="7" t="b">
        <f aca="false">TRUE()</f>
        <v>1</v>
      </c>
      <c r="D65" s="34" t="s">
        <v>399</v>
      </c>
      <c r="E65" s="14" t="s">
        <v>400</v>
      </c>
      <c r="F65" s="14" t="s">
        <v>18</v>
      </c>
      <c r="G65" s="14" t="s">
        <v>395</v>
      </c>
      <c r="H65" s="33" t="n">
        <v>1</v>
      </c>
      <c r="I65" s="34" t="n">
        <v>1994</v>
      </c>
      <c r="J65" s="34" t="n">
        <v>1998</v>
      </c>
      <c r="K65" s="13" t="s">
        <v>396</v>
      </c>
      <c r="L65" s="14" t="s">
        <v>397</v>
      </c>
      <c r="M65" s="27" t="s">
        <v>398</v>
      </c>
      <c r="N65" s="5" t="n">
        <v>-74.071634033805</v>
      </c>
      <c r="O65" s="5" t="n">
        <v>4.63908536911856</v>
      </c>
    </row>
    <row r="66" customFormat="false" ht="154.9" hidden="false" customHeight="false" outlineLevel="0" collapsed="false">
      <c r="A66" s="19" t="n">
        <v>65</v>
      </c>
      <c r="B66" s="14" t="s">
        <v>392</v>
      </c>
      <c r="C66" s="7" t="b">
        <f aca="false">TRUE()</f>
        <v>1</v>
      </c>
      <c r="D66" s="34" t="s">
        <v>401</v>
      </c>
      <c r="E66" s="14" t="s">
        <v>78</v>
      </c>
      <c r="F66" s="14" t="s">
        <v>18</v>
      </c>
      <c r="G66" s="14" t="s">
        <v>395</v>
      </c>
      <c r="H66" s="33" t="n">
        <v>1</v>
      </c>
      <c r="I66" s="34" t="n">
        <v>1994</v>
      </c>
      <c r="J66" s="34" t="n">
        <v>1998</v>
      </c>
      <c r="K66" s="13" t="s">
        <v>396</v>
      </c>
      <c r="L66" s="14" t="s">
        <v>397</v>
      </c>
      <c r="M66" s="27" t="s">
        <v>398</v>
      </c>
      <c r="N66" s="5" t="n">
        <v>-74.0657501761339</v>
      </c>
      <c r="O66" s="5" t="n">
        <v>4.64059354333313</v>
      </c>
    </row>
    <row r="67" customFormat="false" ht="221.25" hidden="false" customHeight="false" outlineLevel="0" collapsed="false">
      <c r="A67" s="19" t="n">
        <v>66</v>
      </c>
      <c r="B67" s="20" t="s">
        <v>402</v>
      </c>
      <c r="C67" s="72" t="b">
        <f aca="false">FALSE()</f>
        <v>0</v>
      </c>
      <c r="D67" s="21" t="s">
        <v>403</v>
      </c>
      <c r="E67" s="22" t="s">
        <v>404</v>
      </c>
      <c r="F67" s="22" t="s">
        <v>18</v>
      </c>
      <c r="G67" s="17" t="s">
        <v>316</v>
      </c>
      <c r="H67" s="24" t="n">
        <v>5</v>
      </c>
      <c r="I67" s="21" t="s">
        <v>405</v>
      </c>
      <c r="J67" s="21" t="n">
        <v>2002</v>
      </c>
      <c r="K67" s="20" t="s">
        <v>406</v>
      </c>
      <c r="L67" s="20" t="s">
        <v>407</v>
      </c>
      <c r="M67" s="27" t="s">
        <v>408</v>
      </c>
      <c r="N67" s="19" t="n">
        <v>-74.058526891476</v>
      </c>
      <c r="O67" s="19" t="n">
        <v>4.66358628837987</v>
      </c>
    </row>
  </sheetData>
  <hyperlinks>
    <hyperlink ref="M2" r:id="rId1" display="Chapinero musical, Abbot y Costelo: la triste historia detrás de cierre de legendario bar de rock bogotano&#10;&#10;http://radioacktiva.com/2024/estos-son-los-bares-de-rock-que-desaparecieron-en-bogota-recuerda-alguno-349211.html                                                                                                                 https://www.eltiempo.com/cultura/gente/abbott-y-costello-armano-records-y-otros-iconicos-bares-que-cerraron-en-bogota-817180  https://www.pulzo.com/economia/abbott-costello-bar-rock-bogota-con-casi-40-anos-confirmo-que-cierra-PP3142137"/>
    <hyperlink ref="M3" r:id="rId2" display="https://www.vice.com/es/article/cul-fue-el-primer-club-de-colombia/"/>
    <hyperlink ref="M4" r:id="rId3" display="playlist del lugar: https://www.youtube.com/playlist?list=PLhakzgpKngU2cHC4wy_CXxcXNUprs4ZZO &#10;grupo nostalgia por antifaz: https://www.facebook.com/groups/9918581110/?locale=es_LA &#10;&#10;https://www.eltiempo.com/archivo/documento/cms-3459851 "/>
    <hyperlink ref="M5" r:id="rId4" display="playlist del lugar: https://www.youtube.com/playlist?list=PLhakzgpKngU2cHC4wy_CXxcXNUprs4ZZO &#10;grupo nostalgia por antifaz: https://www.facebook.com/groups/9918581110/?locale=es_LA &#10;&#10;https://www.eltiempo.com/archivo/documento/cms-3459851 "/>
    <hyperlink ref="M6" r:id="rId5" display="playlist del lugar: https://www.youtube.com/playlist?list=PLhakzgpKngU2cHC4wy_CXxcXNUprs4ZZO &#10;grupo nostalgia por antifaz: https://www.facebook.com/groups/9918581110/?locale=es_LA &#10;&#10;https://www.eltiempo.com/archivo/documento/cms-3459851 "/>
    <hyperlink ref="M7" r:id="rId6" display="https://www.semana.com/contenidos-editoriales/especial-lgbti-2017/articulo/espacios-lgbti-en-bogota/65096/ &#10;&#10;https://repository.javeriana.edu.co/items/128e2673-6311-49d7-bffa-e9a2eb321ba9 &#10;&#10;Celiis Albán, F. (2009) Hombre con hombre, mujer con mujer y viceversa. Colombia Gay. Bogotá,&#10;Intermedio editores. P.p.66-67. &#10;&#10;Cuadro precioso: https://www.instagram.com/p/DBPrVGcthV_/ "/>
    <hyperlink ref="M8" r:id="rId7" display="Barbie y Barbarie: el aporte de Aterciopelados a la vida nocturna capitalina en los 90  https://cartelurbano.com/musica/hector-buitrago-escudero-andrea-echeverri"/>
    <hyperlink ref="M9" r:id="rId8" display="https://www.vice.com/es/article/barbie-y-barbarie-el-aporte-de-aterciopelados-a-la-vida-nocturna-capitalina-en-los-90/&#10;&#10;https://razonpublica.com/erase-una-vez-los-noventa-la-movida-rockera-alternativa-bogota/ &#10;&#10;https://www.instagram.com/reels/DKF5najyXyb/ &#10;&#10;https://www.instagram.com/reel/DPgyeaGEuCW/ &#10;&#10;FOTO ARCHIVO PERSONAL: https://www.facebook.com/groups/19814545280/permalink/10164463078460281/?rdid=3VRWnBaBATmKtqIG# "/>
    <hyperlink ref="M10" r:id="rId9" display="https://www.vice.com/es/article/barbie-y-barbarie-el-aporte-de-aterciopelados-a-la-vida-nocturna-capitalina-en-los-90/&#10;&#10;https://razonpublica.com/erase-una-vez-los-noventa-la-movida-rockera-alternativa-bogota/  https://cartelurbano.com/musica/hector-buitrago-escudero-andrea-echeverri# https://www.tiktok.com/@leyendasdecalle0/video/7508505343178050822"/>
    <hyperlink ref="M12" r:id="rId10" display="https://youtu.be/k3VKvEAk1RM?si=sw218cgE26C5RsGk"/>
    <hyperlink ref="M13" r:id="rId11" display="https://cartelurbano.com/noticias/un-espacio-vital-para-el-arte-urbano-local-se-despide-casa-volketa-cierra-sus-puertas, https://medium.com/overcast/casa-volketa-bogot%C3%A1-y-contracultura-90d9d1824bf9"/>
    <hyperlink ref="M14" r:id="rId12" display="Ecos de la noche: lugares que han forjado la cultura bogotana https://www.eltiempo.com/archivo/documento/cms-3827153 https://www.eltiempo.com/archivo/documento/mam-1678002 https://revistadiners.com.co/estilo-de-vida/en-centrico-la-rumba-es-en-las-alturas/"/>
    <hyperlink ref="M15" r:id="rId13" display="https://distritoch.com/chapinero-musical-2/  https://www.vice.com/es/article/matik-matik-cantina-mas-amable-bogota-10-anos-cumpleanos-musica/"/>
    <hyperlink ref="M17" r:id="rId14" display="Ecos de la noche: lugares que han forjado la cultura bogotana&#10;&#10;https://www.youtube.com/watch?v=4ET8dvaJpaA "/>
    <hyperlink ref="M18" r:id="rId15" display="https://www.instagram.com/colombia_metal_garage/ &#10;&#10;https://www.youtube.com/watch?v=4ET8dvaJpaA "/>
    <hyperlink ref="M19" r:id="rId16" display="Cangrejiando, la verdadera historia de lo que pasó con CRAB’S | CARTEL URBANO"/>
    <hyperlink ref="M20" r:id="rId17" display="https://www.radioacktiva.com/2024/estos-son-los-bares-de-rock-que-desaparecieron-en-bogota-recuerda-alguno-349211.html "/>
    <hyperlink ref="M21" r:id="rId18" display="https://www.elespectador.com/el-magazin-cultural/un-desahucio-anonimo-reverberaciones/  &#10;https://plazacapital.co/escena/6977-el-anonimo-el-bar-de-los-sonidos-alternativos-en-bogota"/>
    <hyperlink ref="M24" r:id="rId19" display="https://youtu.be/k3VKvEAk1RM?si=dYyiiVitcDwMeVnu https://cartelurbano.com/musica/hector-buitrago-escudero-andrea-echeverri"/>
    <hyperlink ref="M25" r:id="rId20" display="https://www.vice.com/es/article/hip-hop-arte-paz-familia-ayara/ https://www.radionica.rocks/podcasts/calle-radionica/la-familia-ayara-la-familia-del-hip-hop-colombiano https://www.youtube.com/watch?v=Ck2-_DhIhjs"/>
    <hyperlink ref="M26" r:id="rId21" display="https://www.vice.com/es/article/hip-hop-arte-paz-familia-ayara/ https://www.radionica.rocks/podcasts/calle-radionica/la-familia-ayara-la-familia-del-hip-hop-colombiano https://www.youtube.com/watch?v=Ck2-_DhIhjs"/>
    <hyperlink ref="M27" r:id="rId22" display="https://uploads.knightlab.com/storymapjs/f5a82cd32b8b5d783dbd5eaecb55ac58/un-recorrido-por-la-fiesta-gay-a-finales-de-siglo-en-bogota/index.html  "/>
    <hyperlink ref="M28" r:id="rId23" display="https://www.facebook.com/kbespacioparalacultura/posts/arte-alternativo-y-bares-de-los-90s-en-bogot%C3%A1bogot%C3%A1-1987-1994-en-una-ciudad-con-/3455812274513640/"/>
    <hyperlink ref="M29" r:id="rId24" display="Gótica, todo un amanecedero  https://www.elespectador.com/bogota/el-rey-de-la-zona-rosa-article-113565/"/>
    <hyperlink ref="M31" r:id="rId25" display="https://distritoch.com/chapinero-musical-2/&#10;&#10;https://www.eltiempo.com/archivo/documento/mam-2135716 &#10;&#10;https://www.eltiempo.com/archivo/documento/mam-1629073 &#10;&#10;https://www.eltiempo.com/archivo/documento/mam-1675167 "/>
    <hyperlink ref="M32" r:id="rId26" display="https://razonpublica.com/erase-una-vez-los-noventa-la-movida-rockera-alternativa-bogota/&#10;&#10;https://www.facebook.com/LaNewOlderNonStop/posts/la-new-older-un-lugar-llamado-kaliman-hace-7-a%C3%B1os-decidimos-hacer-una-de-las-fie/1218705653487585/ &#10;&#10;https://www.instagram.com/rock.bogotano/p/C8j1Odlutjx/ "/>
    <hyperlink ref="M34" r:id="rId27" display="https://www.eltiempo.com/don-juan/historias/discoteca-keops-el-templo-de-la-rumba-en-bogota-en-los-anos-ochenta+articulo+14341057"/>
    <hyperlink ref="M35" r:id="rId28" display="Chapinero musical https://www.facebook.com/groups/1625807161005358/posts/3088843384701721/ https://www.facebook.com/groups/1287875097929717/posts/8101215796595579/"/>
    <hyperlink ref="M36" r:id="rId29" display="Bogota Cuentas las Artes 2019 MLR-10-09-20.pdf https://www.youtube.com/watch?v=k3VKvEAk1RM&amp;t=26s"/>
    <hyperlink ref="M38" r:id="rId30" display="https://distritoch.com/chapinero-musical-2/&#10;https://www.facebook.com/share/p/1DfiVWgdTQ/ &#10;"/>
    <hyperlink ref="M39" r:id="rId31" display="https://www.eltiempo.com/bogota/el-restaurante-la-normanda-de-bogota-cerro-sus-puertas-645510, &#10;&#10;https://www.las2orillas.co/el-lento-y-doloroso-funeral-de-un-antiguo-restaurante-del-centro-bogotano/ "/>
    <hyperlink ref="M40" r:id="rId32" display="https://www.radionica.rocks/cultura/analisis/ecos-de-la-noche-lugares-que-han-forjado-la-cultura-bogotana, https://es.ra.co/clubs/7250"/>
    <hyperlink ref="M41" r:id="rId33" display="https://www.eltiempo.com/archivo/documento/mam-1364535, https://www.facebook.com/TropicanaColombia/videos/guayac%C3%A1n-orquesta-la-teja-corrida-el-sitio-de-bogot%C3%A1-que-recuerdan/3651164081799694/ https://apidspace.javeriana.edu.co/server/api/core/bitstreams/e5625003-c95e-4541-b56f-73ccb1e53118/content"/>
    <hyperlink ref="M42" r:id="rId34" display="La movida postpunk en Bogotá sigue fuerte en la clandestinidad | Cartel Urbano"/>
    <hyperlink ref="M43" r:id="rId35" display="Tropical Punk Records: Recordando la escena neo bogotana"/>
    <hyperlink ref="M44" r:id="rId36" display="https://www.facebook.com/share/p/1DEnufi25x/ &#10;&#10;https://blogs.eltiempo.com/el-blogotazo/2009/07/02/viaje-en-el-tiempo-por-aquella-82/ https://www.elespectador.com/bogota/el-rey-de-la-zona-rosa-article-113565/"/>
    <hyperlink ref="M45" r:id="rId37" display="https://www.las2orillas.co/nutabes-el-templo-de-la-rumba-bogotana-donde-la-fiesta-arrancaba-desde-el-medio-dia-hasta-la-madrugada/ "/>
    <hyperlink ref="M46" r:id="rId38" display="https://www.rockombia.com/noticias/ozzy-bar-cumple-19-anos.html"/>
    <hyperlink ref="M47" r:id="rId39" display="https://www.eltiempo.com/archivo/documento/mam-5382191"/>
    <hyperlink ref="M48" r:id="rId40" display="https://www.facebook.com/groups/1287875097929717/posts/7655248604525636/"/>
    <hyperlink ref="K49" r:id="rId41" display="Bar en el centro de Bogotá administrado por Plinio Carvajal, activo justo antes de que empezara la década de los noventa (finales de los ochenta). Era sinónimo de transgresión: tinas con hombres bañados en gelatina y leche condensada, trapecistas sobrevolando al público, una &quot;iglesia&quot; interna con hombres vestidos de santos a los que la gente podía tocar y pedirles milagros. Manuel Antonio Velandia — activista pionero en la prevención del VIH en Colombia — recuerda que ahí, por miedo a que los infectados no llegaran a diciembre, Plinio organizaba la Navidad en junio, con un pesebre de personas reales y una mujer trans como la Virgen María. El bar tenía publicidad de Plinio en la revista Ventana Gay, la primera publicación gay del país. Desapareció con la muerte de Plinio.&#10;&#10;¨El movimiento homosexual liderado por Manuel Velandia desarrolló la publicación Ventana Gay en la que había publicidad de Plinio, así como reflexiones, noticias y opiniones sobre la comunidad. Luego, según cuenta Manuel, sería Edison quien abriría las puertas al activismo permitiendo la circulación de revistas y folletos de prevención contra el VIH, pero también en sus tarimas, algo que ya había adelantado Plinio de una manera menos organizada.¨"/>
    <hyperlink ref="M49" r:id="rId42" display="https://cartelurbano.com/libreydiverso/la-clandestinidad-y-el-activismo-de-la-fiesta-gay-en-la-bogota-de-los-noventa &#10;&#10;&#10;&#10;&#10;https://uploads.knightlab.com/storymapjs/f5a82cd32b8b5d783dbd5eaecb55ac58/un-recorrido-por-la-fiesta-gay-a-finales-de-siglo-en-bogota/index.html"/>
    <hyperlink ref="M50" r:id="rId43" display="https://www.eltiempo.com/archivo/documento/mam-780668"/>
    <hyperlink ref="M53" r:id="rId44" display="Esta legendaria discoteca cerrará sus puertas en Bogotá y depertó la nostalgia de algunos capitalinos – Publimetro Colombia https://www.vice.com/es/article/radio-berln-como-nombre-cierra-pero-el-espritu-seguir-en-otro-sitio/ https://www.eltiempo.com/bogota/discoteca-radio-berlin-en-bogota-se-acaba-y-hara-impresionante-fiesta-789100 https://www.infobae.com/colombia/2023/07/25/esta-reconocida-discoteca-de-bogota-cerrara-sus-puertas-para-siempre/ https://www.instagram.com/radioberlin_/?hl=es https://technobeatscloud.com/escena/clubes/radio-berlin-co-dc-bogota"/>
    <hyperlink ref="M54" r:id="rId45" display="https://www.eltiempo.com/archivo/documento/mam-1529482"/>
    <hyperlink ref="M55" r:id="rId46" display="https://www.radioacktiva.com/2024/estos-son-los-bares-de-rock-que-desaparecieron-en-bogota-recuerda-alguno-349211.html"/>
    <hyperlink ref="M57" r:id="rId47" display="Bar underground / 'Socorro', el más alternativo https://elmalpensante.com/articulo/postpunk-en-bogota-el-florecimiento-mas-alla-de-tiktok https://www.flickr.com/photos/kikebarona/14964846530/"/>
    <hyperlink ref="M58" r:id="rId48" display="Adiós a los bares del Terraza Pasteur, la rumba del centro de Bogotá https://www.pulzo.com/nacion/bogota/centro-comercial-terraza-pasteur-que-estaba-ruinas-reabrio-sus-puertas-PP3875628A"/>
    <hyperlink ref="M59" r:id="rId49" display="Guía práctica de navegación por el universo de Jazz al Parque "/>
    <hyperlink ref="M60" r:id="rId50" display="Ecos de la noche: lugares que han forjado la cultura bogotana                                                La New Older - TRANSILVANIA BAR, La Ley del Ruido 🪩🖤 Bogotá, año... | Facebook  "/>
    <hyperlink ref="M61" r:id="rId51" display="Poster: https://www.instagram.com/p/CXSRi6elcdl/ "/>
    <hyperlink ref="M62" r:id="rId52" display="https://www.eltiempo.com/amp/archivo/documento/CMS-3596903  "/>
    <hyperlink ref="M64" r:id="rId53" display="https://bibliotecacinemateca.idartes.gov.co/cgi-bin/koha/opac-detail.pl?biblionumber=88811&#10;&#10;https://www.instagram.com/p/ClCVIT2PMmZ/ "/>
    <hyperlink ref="M65" r:id="rId54" display="https://bibliotecacinemateca.idartes.gov.co/cgi-bin/koha/opac-detail.pl?biblionumber=88811&#10;&#10;https://www.instagram.com/p/ClCVIT2PMmZ/ "/>
    <hyperlink ref="M66" r:id="rId55" display="https://bibliotecacinemateca.idartes.gov.co/cgi-bin/koha/opac-detail.pl?biblionumber=88811&#10;&#10;https://www.instagram.com/p/ClCVIT2PMmZ/ "/>
    <hyperlink ref="M67" r:id="rId56" display="https://cartelurbano.com/libreydiverso/la-clandestinidad-y-el-activismo-de-la-fiesta-gay-en-la-bogota-de-los-novent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2026-10-18T19:31:11Z</dcterms:modified>
  <cp:revision>2</cp:revision>
  <dc:subject/>
  <dc:title/>
</cp:coreProperties>
</file>